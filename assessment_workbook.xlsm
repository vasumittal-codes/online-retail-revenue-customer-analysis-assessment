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Q1" sheetId="1" r:id="rId4"/>
    <sheet state="visible" name="Data" sheetId="2" r:id="rId5"/>
    <sheet state="visible" name="Processed Data" sheetId="3" r:id="rId6"/>
    <sheet state="visible" name="Q2" sheetId="4" r:id="rId7"/>
    <sheet state="visible" name="Q3" sheetId="5" r:id="rId8"/>
    <sheet state="visible" name="Q4" sheetId="6" r:id="rId9"/>
    <sheet state="visible" name="Q5" sheetId="7" r:id="rId10"/>
    <sheet state="visible" name="Q6" sheetId="8" r:id="rId11"/>
    <sheet state="visible" name="Q7" sheetId="9" r:id="rId12"/>
    <sheet state="visible" name="Q8" sheetId="10" r:id="rId13"/>
    <sheet state="visible" name="Q9" sheetId="11" r:id="rId14"/>
    <sheet state="visible" name="Q10" sheetId="12" r:id="rId15"/>
  </sheets>
  <definedNames/>
  <calcPr/>
  <extLst>
    <ext uri="GoogleSheetsCustomDataVersion2">
      <go:sheetsCustomData xmlns:go="http://customooxmlschemas.google.com/" r:id="rId16" roundtripDataChecksum="A064yR565vnFf4aH9FJA3AZ7g4Y3vhXezozs08HQWXg="/>
    </ext>
  </extLst>
</workbook>
</file>

<file path=xl/sharedStrings.xml><?xml version="1.0" encoding="utf-8"?>
<sst xmlns="http://schemas.openxmlformats.org/spreadsheetml/2006/main" count="546" uniqueCount="331">
  <si>
    <t>Q2 - Business Problem &amp; Hypotheses</t>
  </si>
  <si>
    <t>Processed Data - analysis-ready sample</t>
  </si>
  <si>
    <t>Data - UCI Online Retail II public preview sample</t>
  </si>
  <si>
    <t>Assessment-ready working sheet. Personal details are intentionally left as placeholders.</t>
  </si>
  <si>
    <t>Full processing logic is reproducible in the Python script. This sheet mirrors the calculated fields on a small public preview sample.</t>
  </si>
  <si>
    <t>InvoiceNo</t>
  </si>
  <si>
    <t>This tab contains a 20-row public preview sample. The full 1,067,371-row source is downloaded reproducibly by src/build_assessment.py before final Google Sheet publication.</t>
  </si>
  <si>
    <t>StockCode</t>
  </si>
  <si>
    <t>Description</t>
  </si>
  <si>
    <t>Quantity</t>
  </si>
  <si>
    <t>InvoiceDate</t>
  </si>
  <si>
    <t>UnitPrice</t>
  </si>
  <si>
    <t>CustomerID</t>
  </si>
  <si>
    <t>Country</t>
  </si>
  <si>
    <t>SalesValue</t>
  </si>
  <si>
    <t>TransactionType</t>
  </si>
  <si>
    <t>Email ID</t>
  </si>
  <si>
    <t>CustomerIDStatus</t>
  </si>
  <si>
    <t>489434</t>
  </si>
  <si>
    <t>vasu.mittal.cse.2023@miet.ac.in</t>
  </si>
  <si>
    <t>85048</t>
  </si>
  <si>
    <t>15CM CHRISTMAS GLASS BALL 20 LIGHTS</t>
  </si>
  <si>
    <t>2009-12-01 07:45:00</t>
  </si>
  <si>
    <t>Section</t>
  </si>
  <si>
    <t>United Kingdom</t>
  </si>
  <si>
    <t>Item</t>
  </si>
  <si>
    <t>Response</t>
  </si>
  <si>
    <t>Sale</t>
  </si>
  <si>
    <t>Source / Note</t>
  </si>
  <si>
    <t>Identified</t>
  </si>
  <si>
    <t>Why it matters</t>
  </si>
  <si>
    <t>79323P</t>
  </si>
  <si>
    <t>Contact Number</t>
  </si>
  <si>
    <t>PINK CHERRY LIGHTS</t>
  </si>
  <si>
    <t>79323W</t>
  </si>
  <si>
    <t>WHITE CHERRY LIGHTS</t>
  </si>
  <si>
    <t>Dataset name</t>
  </si>
  <si>
    <t>Online Retail II</t>
  </si>
  <si>
    <t>A. Business problem</t>
  </si>
  <si>
    <t>UCI Machine Learning Repository</t>
  </si>
  <si>
    <t>Understand where revenue is concentrated, where value is at risk, and which parts of the customer journey deserve management attention.</t>
  </si>
  <si>
    <t>College / University</t>
  </si>
  <si>
    <t>22041</t>
  </si>
  <si>
    <t>Meerut Institute of Engineering and Technology (MIET</t>
  </si>
  <si>
    <t>Turns a large transaction log into a few practical management decisions.</t>
  </si>
  <si>
    <t>RECORD FRAME 7" SINGLE SIZE</t>
  </si>
  <si>
    <t>Source and URL</t>
  </si>
  <si>
    <t>UCI ML Repository - Online Retail II</t>
  </si>
  <si>
    <t>21232</t>
  </si>
  <si>
    <t>https://archive.ics.uci.edu/dataset/502/online+retail+ii</t>
  </si>
  <si>
    <t>STRAWBERRY CERAMIC TRINKET BOX</t>
  </si>
  <si>
    <t>Assessment</t>
  </si>
  <si>
    <t>Data Analyst Assessment - Digitize Your Business</t>
  </si>
  <si>
    <t>Question 1</t>
  </si>
  <si>
    <t>When does revenue peak, and how strong is seasonality?</t>
  </si>
  <si>
    <t>22064</t>
  </si>
  <si>
    <t>PINK DOUGHNUT TRINKET POT</t>
  </si>
  <si>
    <t>Number of rows</t>
  </si>
  <si>
    <t>Supports inventory, staffing and campaign planning.</t>
  </si>
  <si>
    <t>1,067,371 raw instances</t>
  </si>
  <si>
    <t>UCI dataset page</t>
  </si>
  <si>
    <t>21754</t>
  </si>
  <si>
    <t>HOME BUILDING BLOCK WORD</t>
  </si>
  <si>
    <t>Number of columns</t>
  </si>
  <si>
    <t>Question 2</t>
  </si>
  <si>
    <t>489436</t>
  </si>
  <si>
    <t>8 fields</t>
  </si>
  <si>
    <t>22142</t>
  </si>
  <si>
    <t>Which countries and products contribute most to revenue?</t>
  </si>
  <si>
    <t>CHRISTMAS CRAFT WHITE FAIRY</t>
  </si>
  <si>
    <t>InvoiceNo, StockCode, Description, Quantity, InvoiceDate, UnitPrice, CustomerID, Country</t>
  </si>
  <si>
    <t>2009-12-01 09:06:00</t>
  </si>
  <si>
    <t>Shows concentration and where expansion or assortment decisions may matter.</t>
  </si>
  <si>
    <t>Quick arithmetic checks</t>
  </si>
  <si>
    <t>22296</t>
  </si>
  <si>
    <t>HEART IVORY TRELLIS LARGE</t>
  </si>
  <si>
    <t>22295</t>
  </si>
  <si>
    <t>HEART FILIGREE DOVE LARGE</t>
  </si>
  <si>
    <t>Question 3</t>
  </si>
  <si>
    <t>Coverage</t>
  </si>
  <si>
    <t>01-Dec-2009 to 09-Dec-2011</t>
  </si>
  <si>
    <t>How concentrated is revenue across customers, and which RFM groups matter most?</t>
  </si>
  <si>
    <t>Two-year transaction history</t>
  </si>
  <si>
    <t>Helps prioritize retention and win-back activity.</t>
  </si>
  <si>
    <t>22109</t>
  </si>
  <si>
    <t>Metric</t>
  </si>
  <si>
    <t>FULL ENGLISH BREAKFAST PLATE</t>
  </si>
  <si>
    <t>Formula result</t>
  </si>
  <si>
    <t>Brief description</t>
  </si>
  <si>
    <t>22107</t>
  </si>
  <si>
    <t>Real transaction-level data from a UK registered non-store online retailer selling mainly giftware; many customers are wholesalers.</t>
  </si>
  <si>
    <t>PIZZA PLATE IN BOX</t>
  </si>
  <si>
    <t>Question 4</t>
  </si>
  <si>
    <t>UCI description</t>
  </si>
  <si>
    <t>How much revenue/volume is lost through cancellations/returns?</t>
  </si>
  <si>
    <t>Average revenue per invoice</t>
  </si>
  <si>
    <t>Highlights leakage and SKU/process opportunities.</t>
  </si>
  <si>
    <t>22194</t>
  </si>
  <si>
    <t>BLACK DINER WALL CLOCK</t>
  </si>
  <si>
    <t>Question 5</t>
  </si>
  <si>
    <t>Where is the biggest retention drop?</t>
  </si>
  <si>
    <t>35004B</t>
  </si>
  <si>
    <t>Guides first-to-second purchase interventions.</t>
  </si>
  <si>
    <t>SET OF 3 BLACK FLYING DUCKS</t>
  </si>
  <si>
    <t>82582</t>
  </si>
  <si>
    <t>AREA PATROLLED METAL SIGN</t>
  </si>
  <si>
    <t>Hypothesis 1</t>
  </si>
  <si>
    <t>Revenue is highly concentrated among a small number of customers.</t>
  </si>
  <si>
    <t>Test with RFM share and Pareto concentration.</t>
  </si>
  <si>
    <t>21181</t>
  </si>
  <si>
    <t>PLEASE ONE PERSON METAL SIGN</t>
  </si>
  <si>
    <t>Why selected</t>
  </si>
  <si>
    <t>Large enough for meaningful cleaning, customer segmentation, seasonality, country/product analysis and returns analysis.</t>
  </si>
  <si>
    <t>21756</t>
  </si>
  <si>
    <t>Matches the assessment's complexity requirement.</t>
  </si>
  <si>
    <t>Hypothesis 2</t>
  </si>
  <si>
    <t>BATH BUILDING BLOCK WORD</t>
  </si>
  <si>
    <t>November is a repeatable seasonal peak.</t>
  </si>
  <si>
    <t>Average revenue per identified customer</t>
  </si>
  <si>
    <t>Test November 2010 vs November 2011 and broader monthly pattern.</t>
  </si>
  <si>
    <t>489442</t>
  </si>
  <si>
    <t>22111</t>
  </si>
  <si>
    <t>SCOTTIE DOG HOT WATER BOTTLE</t>
  </si>
  <si>
    <t>2009-12-01 09:46:00</t>
  </si>
  <si>
    <t>Hypothesis 3</t>
  </si>
  <si>
    <t>Business opportunities</t>
  </si>
  <si>
    <t>Revenue concentration, retention, seasonal planning, returns leakage, geographic expansion and customer prioritization.</t>
  </si>
  <si>
    <t>Early repeat purchase is weaker than lifetime repeat behavior.</t>
  </si>
  <si>
    <t>Management-focused scope</t>
  </si>
  <si>
    <t>Test month-1 repeat rate vs lifetime repeat rate.</t>
  </si>
  <si>
    <t>License</t>
  </si>
  <si>
    <t>CC BY 4.0</t>
  </si>
  <si>
    <t>84899E</t>
  </si>
  <si>
    <t>Share/adapt with attribution</t>
  </si>
  <si>
    <t>YELLOW + BROWN BEAR FELT PURSE KIT</t>
  </si>
  <si>
    <t>Q3 - Data Processing &amp; Cleaning Decisions</t>
  </si>
  <si>
    <t>Step</t>
  </si>
  <si>
    <t>Rule / Change</t>
  </si>
  <si>
    <t>Why necessary</t>
  </si>
  <si>
    <t>What if we didn't?</t>
  </si>
  <si>
    <t>1</t>
  </si>
  <si>
    <t>Drop exact duplicates: 34,335 rows</t>
  </si>
  <si>
    <t>Avoid counting the same transaction line twice.</t>
  </si>
  <si>
    <t>Revenue, units and customer frequency would be inflated.</t>
  </si>
  <si>
    <t>2</t>
  </si>
  <si>
    <t>Split cancellation invoices (prefix C) out of the sales grain: 19,104 rows</t>
  </si>
  <si>
    <t>Returns/cancellations are business activity, but should not be counted as positive sales.</t>
  </si>
  <si>
    <t>Sales would be overstated and return analysis would be blurred.</t>
  </si>
  <si>
    <t>3</t>
  </si>
  <si>
    <t>Remove non-product/service codes: 4,630 rows</t>
  </si>
  <si>
    <t>Codes such as postage, bank charges, adjustments and test rows are not comparable merchandise lines.</t>
  </si>
  <si>
    <t>Product performance rankings would mix operating charges with products.</t>
  </si>
  <si>
    <t>4</t>
  </si>
  <si>
    <t>Remove Quantity &lt;= 0 from sales grain: 3,391 rows</t>
  </si>
  <si>
    <t>Keep the sales table strictly positive-quantity.</t>
  </si>
  <si>
    <t>Negative/zero units would distort average order and product quantity metrics.</t>
  </si>
  <si>
    <t>5</t>
  </si>
  <si>
    <t>Remove Price &lt;= 0 from sales grain: 2,571 rows</t>
  </si>
  <si>
    <t>Ensure sales-value calculations represent positive-priced merchandise.</t>
  </si>
  <si>
    <t>Zero/negative pricing could create misleading revenue or margin-like metrics.</t>
  </si>
  <si>
    <t>6</t>
  </si>
  <si>
    <t>Create SalesValue = Quantity * UnitPrice</t>
  </si>
  <si>
    <t>Provides a consistent line-level revenue measure.</t>
  </si>
  <si>
    <t>Would have to repeat the calculation in every analysis.</t>
  </si>
  <si>
    <t>7</t>
  </si>
  <si>
    <t>Keep missing CustomerID for revenue totals, exclude from customer analysis (226,761 rows in benchmark clean snapshot)</t>
  </si>
  <si>
    <t>Guest/anonymous sales are still real revenue, but cannot support customer-level behavior.</t>
  </si>
  <si>
    <t>Dropping them would understate sales; including them would corrupt RFM/cohort metrics.</t>
  </si>
  <si>
    <t>8</t>
  </si>
  <si>
    <t>Standardize date/time and categorical labels</t>
  </si>
  <si>
    <t>Makes time grouping and country/segment summaries consistent.</t>
  </si>
  <si>
    <t>Month, country and segment comparisons could split equivalent records.</t>
  </si>
  <si>
    <t>Q4 - Key Business Insights</t>
  </si>
  <si>
    <t>Insight</t>
  </si>
  <si>
    <t>Evidence</t>
  </si>
  <si>
    <t>Why did you select this?</t>
  </si>
  <si>
    <t>Business impact</t>
  </si>
  <si>
    <t>Recommendation</t>
  </si>
  <si>
    <t>1. UK concentration</t>
  </si>
  <si>
    <t>UK accounts for 85.5% of revenue; next markets are EIRE 3.2%, Netherlands 2.8%, Germany 2.0%, France 1.6%.</t>
  </si>
  <si>
    <t>Geographic concentration is directly relevant to growth risk and resource allocation.</t>
  </si>
  <si>
    <t>High dependence on one market; international markets are smaller but visible.</t>
  </si>
  <si>
    <t>Protect UK base while testing focused growth plans in the strongest non-UK markets.</t>
  </si>
  <si>
    <t>2. November is the recurring peak</t>
  </si>
  <si>
    <t>Revenue was about £1.43M in Nov-2010 and £1.45M in Nov-2011, roughly double a quiet spring month.</t>
  </si>
  <si>
    <t>A repeatable peak is actionable for planning rather than just descriptive.</t>
  </si>
  <si>
    <t>Stock, marketing and service capacity are most valuable ahead of peak demand.</t>
  </si>
  <si>
    <t>Build a seasonal playbook around September-November planning and December expectations.</t>
  </si>
  <si>
    <t>3. Champions carry disproportionate value</t>
  </si>
  <si>
    <t>Champions are 25.2% of customers but 69.2% of revenue; Champions + Loyal Customers are ~45.8% of customers and ~83.4% of revenue.</t>
  </si>
  <si>
    <t>This is the clearest customer-prioritization signal in the dataset.</t>
  </si>
  <si>
    <t>Retention risk is concentrated: losing a few strong customers can matter more than broad low-value churn.</t>
  </si>
  <si>
    <t>Protect Champions with VIP/service benefits and proactive retention.</t>
  </si>
  <si>
    <t>4. At Risk customers are a meaningful win-back pool</t>
  </si>
  <si>
    <t>At Risk = 14.1% of customers but 9.3% of identified-customer revenue.</t>
  </si>
  <si>
    <t>This group is both large enough to act on and valuable enough to justify targeted outreach.</t>
  </si>
  <si>
    <t>Win-back can focus spend where prior value is already proven.</t>
  </si>
  <si>
    <t>Create a simple win-back journey based on recency and past spend.</t>
  </si>
  <si>
    <t>5. Retention has a sharp early drop</t>
  </si>
  <si>
    <t>Average month-1 repeat rate is ~21%, while ~72% of identified customers eventually place 2+ orders over their lifetime.</t>
  </si>
  <si>
    <t>The contrast suggests the first follow-up window is the practical intervention point.</t>
  </si>
  <si>
    <t>A better second-purchase journey could turn one-time buyers into repeat customers.</t>
  </si>
  <si>
    <t>Use post-purchase reminders, product recommendations and time-bound second-order offers.</t>
  </si>
  <si>
    <t>6. Returns are manageable overall but concentrated</t>
  </si>
  <si>
    <t>Cancellations are ~3.65% of revenue and ~4.18% of units; a few high-value SKUs account for a large portion of the leak.</t>
  </si>
  <si>
    <t>Overall return rate is not catastrophic, so blanket policy changes may be unnecessary.</t>
  </si>
  <si>
    <t>Targeting specific SKUs/processes is more efficient than treating all returns equally.</t>
  </si>
  <si>
    <t>Audit return-heavy SKUs and reasons instead of broad discounting or policy changes.</t>
  </si>
  <si>
    <t>Q5 - Surprising / Unexpected Result</t>
  </si>
  <si>
    <t>Prompt</t>
  </si>
  <si>
    <t>1. What did I initially expect?</t>
  </si>
  <si>
    <t>I expected the highest-value customers to matter more than average, but I did not expect the concentration to be this strong.</t>
  </si>
  <si>
    <t>2. What did the data show?</t>
  </si>
  <si>
    <t>Champions are only 25.2% of identified customers but account for 69.2% of identified-customer revenue. About 23% of customers generate ~80% of revenue.</t>
  </si>
  <si>
    <t>Q6 - Data Quality, Limitations &amp; Risks</t>
  </si>
  <si>
    <t>3. Why do I think this happened?</t>
  </si>
  <si>
    <t>The retailer has repeat buyers and wholesalers, so a smaller group can place much larger or more frequent baskets than casual customers.</t>
  </si>
  <si>
    <t>4. What additional analysis did I perform?</t>
  </si>
  <si>
    <t>I checked RFM segment shares against a Pareto view. Top 10 customers contribute 16.1% of identified-customer revenue and the top 100 contribute 37.6%.</t>
  </si>
  <si>
    <t>5. Reasonable conclusion</t>
  </si>
  <si>
    <t>The business should not manage all customers in the same way. Retention and service effort should be weighted toward high-value segments, while lower-value customers can be handled with lower-cost automation.</t>
  </si>
  <si>
    <t>Caution</t>
  </si>
  <si>
    <t>The dataset does not explain why customers behave this way; it shows the pattern, not a causal driver.</t>
  </si>
  <si>
    <t>Issue / Limitation</t>
  </si>
  <si>
    <t>Potential effect</t>
  </si>
  <si>
    <t>How handled / accounted for</t>
  </si>
  <si>
    <t>Cancellation invoices mixed into sales</t>
  </si>
  <si>
    <t>Inflated sales if counted as normal transactions.</t>
  </si>
  <si>
    <t>Separated invoice numbers beginning with C and analyzed them as returns/cancellations.</t>
  </si>
  <si>
    <t>Exact duplicates</t>
  </si>
  <si>
    <t>Double-counted revenue, units and invoice line frequency.</t>
  </si>
  <si>
    <t>Dropped 34,335 exact duplicate rows.</t>
  </si>
  <si>
    <t>Missing CustomerID</t>
  </si>
  <si>
    <t>Customer-level metrics cannot represent anonymous buyers reliably.</t>
  </si>
  <si>
    <t>Kept them for revenue totals; excluded from RFM/cohort/Pareto customer analysis.</t>
  </si>
  <si>
    <t>Service/adjustment codes mixed with products</t>
  </si>
  <si>
    <t>Top-product rankings can be polluted by postage, fees or test rows.</t>
  </si>
  <si>
    <t>Removed non-product/service codes from the sales grain.</t>
  </si>
  <si>
    <t>Incomplete December 2011</t>
  </si>
  <si>
    <t>The final month only covers through 09-Dec, so month-to-month comparisons at the end of the period can look artificially weak.</t>
  </si>
  <si>
    <t>Flagged December 2011 as partial and avoided treating it as a normal full month.</t>
  </si>
  <si>
    <t>Limitation 1</t>
  </si>
  <si>
    <t>The dataset is from one retailer and one historical period.</t>
  </si>
  <si>
    <t>Recommendations are directional rather than universally generalizable.</t>
  </si>
  <si>
    <t>Limitation 2</t>
  </si>
  <si>
    <t>There is no acquisition channel, marketing cost, product margin or customer demographic field.</t>
  </si>
  <si>
    <t>Cannot calculate true CAC/ROAS, contribution margin or causal campaign lift.</t>
  </si>
  <si>
    <t>Conclusion that cannot safely be made</t>
  </si>
  <si>
    <t>A specific campaign, product or policy caused revenue growth or retention.</t>
  </si>
  <si>
    <t>The data is observational transaction history, so causal claims need additional experiments or operational data.</t>
  </si>
  <si>
    <t>Q7 - Prioritized Recommendations</t>
  </si>
  <si>
    <t>Priority</t>
  </si>
  <si>
    <t>What should be done?</t>
  </si>
  <si>
    <t>Supporting insight</t>
  </si>
  <si>
    <t>Who acts?</t>
  </si>
  <si>
    <t>Potential outcome</t>
  </si>
  <si>
    <t>Success measure</t>
  </si>
  <si>
    <t>1 - High impact / High feasibility</t>
  </si>
  <si>
    <t>Create a Champions + Loyal customer retention program with service/VIP benefits and proactive reminders.</t>
  </si>
  <si>
    <t>~46% of customers drive ~83% of revenue.</t>
  </si>
  <si>
    <t>CRM / Customer Success / Commercial</t>
  </si>
  <si>
    <t>Protect a large share of existing revenue with focused effort.</t>
  </si>
  <si>
    <t>Repeat rate, revenue per customer, churn/recency movement in target segments.</t>
  </si>
  <si>
    <t>2 - High impact / Medium feasibility</t>
  </si>
  <si>
    <t>Launch a 30/60/90-day win-back sequence for At Risk customers using past purchase value and recency.</t>
  </si>
  <si>
    <t>At Risk customers are 14.1% of customers and 9.3% of identified-customer revenue.</t>
  </si>
  <si>
    <t>CRM / Marketing</t>
  </si>
  <si>
    <t>Recover revenue from already-proven buyers rather than broad acquisition.</t>
  </si>
  <si>
    <t>Reactivation rate, incremental revenue, offer cost per reactivated customer.</t>
  </si>
  <si>
    <t>3 - Medium-high impact / High feasibility</t>
  </si>
  <si>
    <t>Improve the first-to-second purchase journey and prepare peak-season inventory/campaign plans earlier.</t>
  </si>
  <si>
    <t>Month-1 repeat is ~21%; November is a repeatable revenue peak.</t>
  </si>
  <si>
    <t>Marketing / Merchandising / Operations</t>
  </si>
  <si>
    <t>Lift early repeat while reducing peak-season stock/service pressure.</t>
  </si>
  <si>
    <t>30-day second-order rate, November revenue, stock-outs / cancellation rate.</t>
  </si>
  <si>
    <t>Q8 - Dashboard Submission</t>
  </si>
  <si>
    <t>Dashboard purpose</t>
  </si>
  <si>
    <t>One-page management view of revenue concentration, customer value, retention and returns.</t>
  </si>
  <si>
    <t>KPI cards</t>
  </si>
  <si>
    <t>Total analyzed revenue: ~£19.64M; identified customers: 5,852; clean sales lines: 1,003,340; return revenue rate: ~3.65%.</t>
  </si>
  <si>
    <t>Trend visual</t>
  </si>
  <si>
    <t>November peak comparison plus a full monthly trend generated when the raw UCI file is processed.</t>
  </si>
  <si>
    <t>Segment visual</t>
  </si>
  <si>
    <t>RFM revenue share highlighting Champions, Loyal Customers and At Risk.</t>
  </si>
  <si>
    <t>Q9 - Presentation Storyboard</t>
  </si>
  <si>
    <t>Geographic visual</t>
  </si>
  <si>
    <t>Country revenue share led by UK; suitable for a country filter.</t>
  </si>
  <si>
    <t>Customer concentration visual</t>
  </si>
  <si>
    <t>Slide</t>
  </si>
  <si>
    <t>Pareto-style top-customer concentration.</t>
  </si>
  <si>
    <t>Content</t>
  </si>
  <si>
    <t>Speaker note / management message</t>
  </si>
  <si>
    <t>Filters</t>
  </si>
  <si>
    <t>1 - Business Problem</t>
  </si>
  <si>
    <t>Country, year/month, customer segment and product where the full processed dataset is loaded.</t>
  </si>
  <si>
    <t>Where is revenue concentrated, what is at risk, and where should management focus?</t>
  </si>
  <si>
    <t>Set the decision question before showing charts.</t>
  </si>
  <si>
    <t>2 - Data &amp; Methodology</t>
  </si>
  <si>
    <t>Looker Studio link</t>
  </si>
  <si>
    <t>UCI Online Retail II, 1.067M rows, cleaning and customer/revenue analysis.</t>
  </si>
  <si>
    <t>Not published from this environment. dashboard/LOOKER_STUDIO_SETUP.md contains the exact build steps and fields to connect.</t>
  </si>
  <si>
    <t>Explain the data in business language, not code.</t>
  </si>
  <si>
    <t>3 - Key Findings</t>
  </si>
  <si>
    <t>Screenshot</t>
  </si>
  <si>
    <t>UK 85.5%; recurring November peak; customer concentration; 21% month-1 repeat.</t>
  </si>
  <si>
    <t>dashboard/dashboard_mock.png</t>
  </si>
  <si>
    <t>Four facts management can remember.</t>
  </si>
  <si>
    <t>4 - Deep Dive</t>
  </si>
  <si>
    <t>Champions = 25.2% of customers but 69.2% of revenue; Pareto reinforces concentration.</t>
  </si>
  <si>
    <t>This is the strongest prioritization signal.</t>
  </si>
  <si>
    <t>5 - Recommendations</t>
  </si>
  <si>
    <t>Retain high-value customers; win back At Risk; improve first-to-second purchase and seasonal readiness.</t>
  </si>
  <si>
    <t>Translate analysis into ownership.</t>
  </si>
  <si>
    <t>6 - Expected Impact</t>
  </si>
  <si>
    <t>Protect existing revenue, reactivate proven buyers, improve repeat purchase and peak planning.</t>
  </si>
  <si>
    <t>Define measures so recommendations can be tested.</t>
  </si>
  <si>
    <t>7 - Limitations &amp; Next Steps</t>
  </si>
  <si>
    <t>Partial final month, missing IDs, no marketing cost/channel/margin; next step is experimentation + richer data.</t>
  </si>
  <si>
    <t>Show judgment: what the data cannot answer.</t>
  </si>
  <si>
    <t>Q10 - How I Used AI</t>
  </si>
  <si>
    <t>Question</t>
  </si>
  <si>
    <t>1. Which AI tools did I use?</t>
  </si>
  <si>
    <t>ChatGPT / GPT-5.6 Luna plus Python for analysis support.</t>
  </si>
  <si>
    <t>2. What did I use them for?</t>
  </si>
  <si>
    <t>Dataset discovery, business-question framing, cleaning-rule drafting, code scaffolding, wording refinement and dashboard/presentation structure.</t>
  </si>
  <si>
    <t>3. One example where AI helped</t>
  </si>
  <si>
    <t>AI helped turn a broad retail dataset into a focused management question around customer concentration, retention and returns.</t>
  </si>
  <si>
    <t>4. One example where I verified/corrected AI output</t>
  </si>
  <si>
    <t>I checked source figures against the UCI repository and an independent reproducible analysis of the same dataset before using them in the management story. I also flagged the incomplete December 2011 period instead of presenting it as a normal month.</t>
  </si>
  <si>
    <t>Responsibility statement</t>
  </si>
  <si>
    <t>AI supported the workflow, but the final recommendations, caveats and submission choices are my responsibility.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</si>
</sst>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£#,##0.00"/>
    <numFmt numFmtId="165" formatCode="yyyy-mm-dd hh:mm:ss"/>
  </numFmts>
  <fonts count="7">
    <font>
      <sz val="11.0"/>
      <color rgb="FF000000"/>
      <name val="Carlito"/>
      <scheme val="minor"/>
    </font>
    <font>
      <b/>
      <sz val="16.0"/>
      <color rgb="FFFFFFFF"/>
      <name val="Carlito"/>
    </font>
    <font>
      <sz val="11.0"/>
      <color rgb="FF384860"/>
      <name val="Carlito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  <font>
      <b/>
      <sz val="12.0"/>
      <color rgb="FF17324D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17324D"/>
        <bgColor rgb="FF17324D"/>
      </patternFill>
    </fill>
    <fill>
      <patternFill patternType="solid">
        <fgColor rgb="FFF3F6F9"/>
        <bgColor rgb="FFF3F6F9"/>
      </patternFill>
    </fill>
    <fill>
      <patternFill patternType="solid">
        <fgColor rgb="FF2F5597"/>
        <bgColor rgb="FF2F5597"/>
      </patternFill>
    </fill>
    <fill>
      <patternFill patternType="solid">
        <fgColor rgb="FFDCE6F1"/>
        <bgColor rgb="FFDCE6F1"/>
      </patternFill>
    </fill>
  </fills>
  <borders count="1">
    <border/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top"/>
    </xf>
    <xf borderId="0" fillId="3" fontId="1" numFmtId="0" xfId="0" applyAlignment="1" applyFill="1" applyFont="1">
      <alignment horizontal="left" vertical="center"/>
    </xf>
    <xf borderId="0" fillId="3" fontId="1" numFmtId="0" xfId="0" applyAlignment="1" applyFill="1" applyFont="1">
      <alignment horizontal="left" vertical="top"/>
    </xf>
    <xf borderId="0" fillId="4" fontId="2" numFmtId="0" xfId="0" applyAlignment="1" applyFill="1" applyFont="1">
      <alignment shrinkToFit="0" wrapText="1"/>
    </xf>
    <xf borderId="0" fillId="4" fontId="2" numFmtId="0" xfId="0" applyAlignment="1" applyFill="1" applyFont="1">
      <alignment shrinkToFit="0" vertical="top" wrapText="1"/>
    </xf>
    <xf borderId="0" fillId="5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vertical="top"/>
    </xf>
    <xf borderId="0" fillId="0" fontId="4" numFmtId="0" xfId="0" applyAlignment="1" applyFont="1">
      <alignment shrinkToFit="0" vertical="top" wrapText="1"/>
    </xf>
    <xf borderId="0" fillId="0" fontId="5" numFmtId="0" xfId="0" applyFont="1"/>
    <xf borderId="0" fillId="0" fontId="4" numFmtId="0" xfId="0" applyAlignment="1" applyFont="1">
      <alignment readingOrder="0" shrinkToFit="0" vertical="top" wrapText="1"/>
    </xf>
    <xf borderId="0" fillId="5" fontId="3" numFmtId="0" xfId="0" applyAlignment="1" applyFill="1" applyFont="1">
      <alignment horizontal="center" shrinkToFit="0" vertical="top" wrapText="1"/>
    </xf>
    <xf borderId="0" fillId="0" fontId="4" numFmtId="164" xfId="0" applyFont="1" applyNumberFormat="1"/>
    <xf borderId="0" fillId="0" fontId="4" numFmtId="165" xfId="0" applyFont="1" applyNumberFormat="1"/>
    <xf borderId="0" fillId="0" fontId="4" numFmtId="0" xfId="0" applyAlignment="1" applyFont="1">
      <alignment horizontal="left" readingOrder="0" shrinkToFit="0" vertical="top" wrapText="1"/>
    </xf>
    <xf borderId="0" fillId="6" fontId="6" numFmtId="0" xfId="0" applyAlignment="1" applyFill="1" applyFont="1">
      <alignment vertical="top"/>
    </xf>
    <xf borderId="0" fillId="2" fontId="6" numFmtId="0" xfId="0" applyAlignment="1" applyFill="1" applyFont="1">
      <alignment vertical="top"/>
    </xf>
    <xf borderId="0" fillId="0" fontId="4" numFmtId="164" xfId="0" applyAlignment="1" applyFont="1" applyNumberFormat="1">
      <alignment vertical="top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6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48.0"/>
    <col customWidth="1" min="3" max="3" width="58.0"/>
    <col customWidth="1" min="4" max="4" width="8.63"/>
    <col customWidth="1" min="5" max="5" width="24.0"/>
    <col customWidth="1" min="6" max="6" width="35.0"/>
    <col customWidth="1" min="7" max="26" width="8.63"/>
  </cols>
  <sheetData>
    <row r="1">
      <c r="B1" s="1"/>
    </row>
    <row r="2">
      <c r="A2" s="5" t="s">
        <v>3</v>
      </c>
    </row>
    <row r="3">
      <c r="A3" s="7"/>
      <c r="B3" s="7"/>
      <c r="C3" s="7"/>
      <c r="D3" s="7"/>
      <c r="E3" s="8" t="s">
        <v>16</v>
      </c>
      <c r="F3" s="10" t="s">
        <v>19</v>
      </c>
      <c r="G3" s="8"/>
      <c r="H3" s="8"/>
    </row>
    <row r="4">
      <c r="A4" s="11" t="s">
        <v>25</v>
      </c>
      <c r="B4" s="11" t="s">
        <v>26</v>
      </c>
      <c r="C4" s="11" t="s">
        <v>28</v>
      </c>
      <c r="D4" s="7"/>
      <c r="E4" s="8" t="s">
        <v>32</v>
      </c>
      <c r="F4" s="14">
        <v>9.997169367E9</v>
      </c>
      <c r="G4" s="8"/>
      <c r="H4" s="8"/>
    </row>
    <row r="5">
      <c r="A5" s="8" t="s">
        <v>36</v>
      </c>
      <c r="B5" s="8" t="s">
        <v>37</v>
      </c>
      <c r="C5" s="8" t="s">
        <v>39</v>
      </c>
      <c r="D5" s="7"/>
      <c r="E5" s="8" t="s">
        <v>41</v>
      </c>
      <c r="F5" s="10" t="s">
        <v>43</v>
      </c>
      <c r="G5" s="8"/>
      <c r="H5" s="8"/>
    </row>
    <row r="6">
      <c r="A6" s="8" t="s">
        <v>46</v>
      </c>
      <c r="B6" s="8" t="s">
        <v>47</v>
      </c>
      <c r="C6" s="8" t="s">
        <v>49</v>
      </c>
      <c r="D6" s="7"/>
      <c r="E6" s="8" t="s">
        <v>51</v>
      </c>
      <c r="F6" s="8" t="s">
        <v>52</v>
      </c>
      <c r="G6" s="8"/>
      <c r="H6" s="8"/>
    </row>
    <row r="7">
      <c r="A7" s="8" t="s">
        <v>57</v>
      </c>
      <c r="B7" s="8" t="s">
        <v>59</v>
      </c>
      <c r="C7" s="8" t="s">
        <v>60</v>
      </c>
      <c r="D7" s="7"/>
      <c r="E7" s="7"/>
      <c r="F7" s="7"/>
      <c r="G7" s="7"/>
      <c r="H7" s="7"/>
    </row>
    <row r="8">
      <c r="A8" s="8" t="s">
        <v>63</v>
      </c>
      <c r="B8" s="8" t="s">
        <v>66</v>
      </c>
      <c r="C8" s="8" t="s">
        <v>70</v>
      </c>
      <c r="D8" s="7"/>
      <c r="E8" s="15" t="s">
        <v>73</v>
      </c>
      <c r="F8" s="15"/>
      <c r="G8" s="16"/>
      <c r="H8" s="16"/>
    </row>
    <row r="9">
      <c r="A9" s="8" t="s">
        <v>79</v>
      </c>
      <c r="B9" s="8" t="s">
        <v>80</v>
      </c>
      <c r="C9" s="8" t="s">
        <v>82</v>
      </c>
      <c r="D9" s="7"/>
      <c r="E9" s="6" t="s">
        <v>85</v>
      </c>
      <c r="F9" s="6" t="s">
        <v>87</v>
      </c>
      <c r="G9" s="7"/>
      <c r="H9" s="7"/>
    </row>
    <row r="10">
      <c r="A10" s="8" t="s">
        <v>88</v>
      </c>
      <c r="B10" s="8" t="s">
        <v>90</v>
      </c>
      <c r="C10" s="8" t="s">
        <v>93</v>
      </c>
      <c r="D10" s="7"/>
      <c r="E10" s="7" t="s">
        <v>95</v>
      </c>
      <c r="F10" s="17">
        <f>19643861.62/39516</f>
        <v>497.1115907</v>
      </c>
      <c r="G10" s="7"/>
      <c r="H10" s="7"/>
    </row>
    <row r="11">
      <c r="A11" s="8" t="s">
        <v>111</v>
      </c>
      <c r="B11" s="8" t="s">
        <v>112</v>
      </c>
      <c r="C11" s="8" t="s">
        <v>114</v>
      </c>
      <c r="D11" s="7"/>
      <c r="E11" s="7" t="s">
        <v>118</v>
      </c>
      <c r="F11" s="17">
        <f>19643861.62/5852</f>
        <v>3356.777447</v>
      </c>
      <c r="G11" s="7"/>
      <c r="H11" s="7"/>
    </row>
    <row r="12">
      <c r="A12" s="8" t="s">
        <v>125</v>
      </c>
      <c r="B12" s="8" t="s">
        <v>126</v>
      </c>
      <c r="C12" s="8" t="s">
        <v>128</v>
      </c>
      <c r="D12" s="7"/>
      <c r="E12" s="7"/>
      <c r="F12" s="7"/>
      <c r="G12" s="7"/>
      <c r="H12" s="7"/>
    </row>
    <row r="13">
      <c r="A13" s="8" t="s">
        <v>130</v>
      </c>
      <c r="B13" s="8" t="s">
        <v>131</v>
      </c>
      <c r="C13" s="8" t="s">
        <v>133</v>
      </c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E1:H1"/>
    <mergeCell ref="A2:H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0"/>
    <col customWidth="1" min="3" max="3" width="42.0"/>
    <col customWidth="1" min="4" max="4" width="10.0"/>
    <col customWidth="1" min="5" max="5" width="22.0"/>
    <col customWidth="1" min="6" max="7" width="12.0"/>
    <col customWidth="1" min="8" max="8" width="18.0"/>
    <col customWidth="1" min="9" max="26" width="8.63"/>
  </cols>
  <sheetData>
    <row r="1">
      <c r="A1" s="2" t="s">
        <v>2</v>
      </c>
    </row>
    <row r="2">
      <c r="A2" s="4" t="s">
        <v>6</v>
      </c>
    </row>
    <row r="4">
      <c r="A4" s="6" t="s">
        <v>5</v>
      </c>
      <c r="B4" s="6" t="s">
        <v>7</v>
      </c>
      <c r="C4" s="6" t="s">
        <v>8</v>
      </c>
      <c r="D4" s="6" t="s">
        <v>9</v>
      </c>
      <c r="E4" s="6" t="s">
        <v>10</v>
      </c>
      <c r="F4" s="6" t="s">
        <v>11</v>
      </c>
      <c r="G4" s="6" t="s">
        <v>12</v>
      </c>
      <c r="H4" s="6" t="s">
        <v>13</v>
      </c>
    </row>
    <row r="5">
      <c r="A5" s="9" t="s">
        <v>18</v>
      </c>
      <c r="B5" s="9" t="s">
        <v>20</v>
      </c>
      <c r="C5" s="9" t="s">
        <v>21</v>
      </c>
      <c r="D5" s="9">
        <v>12.0</v>
      </c>
      <c r="E5" s="13" t="s">
        <v>22</v>
      </c>
      <c r="F5" s="9">
        <v>6.95</v>
      </c>
      <c r="G5" s="9">
        <v>13085.0</v>
      </c>
      <c r="H5" s="9" t="s">
        <v>24</v>
      </c>
    </row>
    <row r="6">
      <c r="A6" s="9" t="s">
        <v>18</v>
      </c>
      <c r="B6" s="9" t="s">
        <v>31</v>
      </c>
      <c r="C6" s="9" t="s">
        <v>33</v>
      </c>
      <c r="D6" s="9">
        <v>12.0</v>
      </c>
      <c r="E6" s="13" t="s">
        <v>22</v>
      </c>
      <c r="F6" s="9">
        <v>6.75</v>
      </c>
      <c r="G6" s="9">
        <v>13085.0</v>
      </c>
      <c r="H6" s="9" t="s">
        <v>24</v>
      </c>
    </row>
    <row r="7">
      <c r="A7" s="9" t="s">
        <v>18</v>
      </c>
      <c r="B7" s="9" t="s">
        <v>34</v>
      </c>
      <c r="C7" s="9" t="s">
        <v>35</v>
      </c>
      <c r="D7" s="9">
        <v>12.0</v>
      </c>
      <c r="E7" s="13" t="s">
        <v>22</v>
      </c>
      <c r="F7" s="9">
        <v>6.75</v>
      </c>
      <c r="G7" s="9">
        <v>13085.0</v>
      </c>
      <c r="H7" s="9" t="s">
        <v>24</v>
      </c>
    </row>
    <row r="8">
      <c r="A8" s="9" t="s">
        <v>18</v>
      </c>
      <c r="B8" s="9" t="s">
        <v>42</v>
      </c>
      <c r="C8" s="9" t="s">
        <v>45</v>
      </c>
      <c r="D8" s="9">
        <v>48.0</v>
      </c>
      <c r="E8" s="13" t="s">
        <v>22</v>
      </c>
      <c r="F8" s="9">
        <v>2.1</v>
      </c>
      <c r="G8" s="9">
        <v>13085.0</v>
      </c>
      <c r="H8" s="9" t="s">
        <v>24</v>
      </c>
    </row>
    <row r="9">
      <c r="A9" s="9" t="s">
        <v>18</v>
      </c>
      <c r="B9" s="9" t="s">
        <v>48</v>
      </c>
      <c r="C9" s="9" t="s">
        <v>50</v>
      </c>
      <c r="D9" s="9">
        <v>24.0</v>
      </c>
      <c r="E9" s="13" t="s">
        <v>22</v>
      </c>
      <c r="F9" s="9">
        <v>1.25</v>
      </c>
      <c r="G9" s="9">
        <v>13085.0</v>
      </c>
      <c r="H9" s="9" t="s">
        <v>24</v>
      </c>
    </row>
    <row r="10">
      <c r="A10" s="9" t="s">
        <v>18</v>
      </c>
      <c r="B10" s="9" t="s">
        <v>55</v>
      </c>
      <c r="C10" s="9" t="s">
        <v>56</v>
      </c>
      <c r="D10" s="9">
        <v>24.0</v>
      </c>
      <c r="E10" s="13" t="s">
        <v>22</v>
      </c>
      <c r="F10" s="9">
        <v>1.65</v>
      </c>
      <c r="G10" s="9">
        <v>13085.0</v>
      </c>
      <c r="H10" s="9" t="s">
        <v>24</v>
      </c>
    </row>
    <row r="11">
      <c r="A11" s="9" t="s">
        <v>18</v>
      </c>
      <c r="B11" s="9" t="s">
        <v>61</v>
      </c>
      <c r="C11" s="9" t="s">
        <v>62</v>
      </c>
      <c r="D11" s="9">
        <v>3.0</v>
      </c>
      <c r="E11" s="13" t="s">
        <v>22</v>
      </c>
      <c r="F11" s="9">
        <v>5.95</v>
      </c>
      <c r="G11" s="9">
        <v>13085.0</v>
      </c>
      <c r="H11" s="9" t="s">
        <v>24</v>
      </c>
    </row>
    <row r="12">
      <c r="A12" s="9" t="s">
        <v>65</v>
      </c>
      <c r="B12" s="9" t="s">
        <v>67</v>
      </c>
      <c r="C12" s="9" t="s">
        <v>69</v>
      </c>
      <c r="D12" s="9">
        <v>12.0</v>
      </c>
      <c r="E12" s="13" t="s">
        <v>71</v>
      </c>
      <c r="F12" s="9">
        <v>1.45</v>
      </c>
      <c r="G12" s="9">
        <v>13078.0</v>
      </c>
      <c r="H12" s="9" t="s">
        <v>24</v>
      </c>
    </row>
    <row r="13">
      <c r="A13" s="9" t="s">
        <v>65</v>
      </c>
      <c r="B13" s="9" t="s">
        <v>74</v>
      </c>
      <c r="C13" s="9" t="s">
        <v>75</v>
      </c>
      <c r="D13" s="9">
        <v>12.0</v>
      </c>
      <c r="E13" s="13" t="s">
        <v>71</v>
      </c>
      <c r="F13" s="9">
        <v>1.65</v>
      </c>
      <c r="G13" s="9">
        <v>13078.0</v>
      </c>
      <c r="H13" s="9" t="s">
        <v>24</v>
      </c>
    </row>
    <row r="14">
      <c r="A14" s="9" t="s">
        <v>65</v>
      </c>
      <c r="B14" s="9" t="s">
        <v>76</v>
      </c>
      <c r="C14" s="9" t="s">
        <v>77</v>
      </c>
      <c r="D14" s="9">
        <v>12.0</v>
      </c>
      <c r="E14" s="13" t="s">
        <v>71</v>
      </c>
      <c r="F14" s="9">
        <v>1.65</v>
      </c>
      <c r="G14" s="9">
        <v>13078.0</v>
      </c>
      <c r="H14" s="9" t="s">
        <v>24</v>
      </c>
    </row>
    <row r="15">
      <c r="A15" s="9" t="s">
        <v>65</v>
      </c>
      <c r="B15" s="9" t="s">
        <v>84</v>
      </c>
      <c r="C15" s="9" t="s">
        <v>86</v>
      </c>
      <c r="D15" s="9">
        <v>16.0</v>
      </c>
      <c r="E15" s="13" t="s">
        <v>71</v>
      </c>
      <c r="F15" s="9">
        <v>3.39</v>
      </c>
      <c r="G15" s="9">
        <v>13078.0</v>
      </c>
      <c r="H15" s="9" t="s">
        <v>24</v>
      </c>
    </row>
    <row r="16">
      <c r="A16" s="9" t="s">
        <v>65</v>
      </c>
      <c r="B16" s="9" t="s">
        <v>89</v>
      </c>
      <c r="C16" s="9" t="s">
        <v>91</v>
      </c>
      <c r="D16" s="9">
        <v>4.0</v>
      </c>
      <c r="E16" s="13" t="s">
        <v>71</v>
      </c>
      <c r="F16" s="9">
        <v>3.75</v>
      </c>
      <c r="G16" s="9">
        <v>13078.0</v>
      </c>
      <c r="H16" s="9" t="s">
        <v>24</v>
      </c>
    </row>
    <row r="17">
      <c r="A17" s="9" t="s">
        <v>65</v>
      </c>
      <c r="B17" s="9" t="s">
        <v>97</v>
      </c>
      <c r="C17" s="9" t="s">
        <v>98</v>
      </c>
      <c r="D17" s="9">
        <v>2.0</v>
      </c>
      <c r="E17" s="13" t="s">
        <v>71</v>
      </c>
      <c r="F17" s="9">
        <v>8.5</v>
      </c>
      <c r="G17" s="9">
        <v>13078.0</v>
      </c>
      <c r="H17" s="9" t="s">
        <v>24</v>
      </c>
    </row>
    <row r="18">
      <c r="A18" s="9" t="s">
        <v>65</v>
      </c>
      <c r="B18" s="9" t="s">
        <v>101</v>
      </c>
      <c r="C18" s="9" t="s">
        <v>103</v>
      </c>
      <c r="D18" s="9">
        <v>12.0</v>
      </c>
      <c r="E18" s="13" t="s">
        <v>71</v>
      </c>
      <c r="F18" s="9">
        <v>4.65</v>
      </c>
      <c r="G18" s="9">
        <v>13078.0</v>
      </c>
      <c r="H18" s="9" t="s">
        <v>24</v>
      </c>
    </row>
    <row r="19">
      <c r="A19" s="9" t="s">
        <v>65</v>
      </c>
      <c r="B19" s="9" t="s">
        <v>104</v>
      </c>
      <c r="C19" s="9" t="s">
        <v>105</v>
      </c>
      <c r="D19" s="9">
        <v>12.0</v>
      </c>
      <c r="E19" s="13" t="s">
        <v>71</v>
      </c>
      <c r="F19" s="9">
        <v>2.1</v>
      </c>
      <c r="G19" s="9">
        <v>13078.0</v>
      </c>
      <c r="H19" s="9" t="s">
        <v>24</v>
      </c>
    </row>
    <row r="20">
      <c r="A20" s="9" t="s">
        <v>65</v>
      </c>
      <c r="B20" s="9" t="s">
        <v>109</v>
      </c>
      <c r="C20" s="9" t="s">
        <v>110</v>
      </c>
      <c r="D20" s="9">
        <v>12.0</v>
      </c>
      <c r="E20" s="13" t="s">
        <v>71</v>
      </c>
      <c r="F20" s="9">
        <v>2.1</v>
      </c>
      <c r="G20" s="9">
        <v>13078.0</v>
      </c>
      <c r="H20" s="9" t="s">
        <v>24</v>
      </c>
    </row>
    <row r="21" ht="15.75" customHeight="1">
      <c r="A21" s="9" t="s">
        <v>65</v>
      </c>
      <c r="B21" s="9" t="s">
        <v>113</v>
      </c>
      <c r="C21" s="9" t="s">
        <v>116</v>
      </c>
      <c r="D21" s="9">
        <v>3.0</v>
      </c>
      <c r="E21" s="13" t="s">
        <v>71</v>
      </c>
      <c r="F21" s="9">
        <v>5.95</v>
      </c>
      <c r="G21" s="9">
        <v>13078.0</v>
      </c>
      <c r="H21" s="9" t="s">
        <v>24</v>
      </c>
    </row>
    <row r="22" ht="15.75" customHeight="1">
      <c r="A22" s="9" t="s">
        <v>120</v>
      </c>
      <c r="B22" s="9" t="s">
        <v>121</v>
      </c>
      <c r="C22" s="9" t="s">
        <v>122</v>
      </c>
      <c r="D22" s="9">
        <v>3.0</v>
      </c>
      <c r="E22" s="13" t="s">
        <v>123</v>
      </c>
      <c r="F22" s="9">
        <v>4.95</v>
      </c>
      <c r="G22" s="9">
        <v>13635.0</v>
      </c>
      <c r="H22" s="9" t="s">
        <v>24</v>
      </c>
    </row>
    <row r="23" ht="15.75" customHeight="1">
      <c r="A23" s="9" t="s">
        <v>120</v>
      </c>
      <c r="B23" s="9" t="s">
        <v>74</v>
      </c>
      <c r="C23" s="9" t="s">
        <v>75</v>
      </c>
      <c r="D23" s="9">
        <v>12.0</v>
      </c>
      <c r="E23" s="13" t="s">
        <v>123</v>
      </c>
      <c r="F23" s="9">
        <v>1.65</v>
      </c>
      <c r="G23" s="9">
        <v>13635.0</v>
      </c>
      <c r="H23" s="9" t="s">
        <v>24</v>
      </c>
    </row>
    <row r="24" ht="15.75" customHeight="1">
      <c r="A24" s="9" t="s">
        <v>120</v>
      </c>
      <c r="B24" s="9" t="s">
        <v>132</v>
      </c>
      <c r="C24" s="9" t="s">
        <v>134</v>
      </c>
      <c r="D24" s="9">
        <v>12.0</v>
      </c>
      <c r="E24" s="13" t="s">
        <v>123</v>
      </c>
      <c r="F24" s="9">
        <v>1.25</v>
      </c>
      <c r="G24" s="9">
        <v>13635.0</v>
      </c>
      <c r="H24" s="9" t="s">
        <v>24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0"/>
    <col customWidth="1" min="3" max="3" width="40.0"/>
    <col customWidth="1" min="4" max="4" width="10.0"/>
    <col customWidth="1" min="5" max="5" width="22.0"/>
    <col customWidth="1" min="6" max="7" width="12.0"/>
    <col customWidth="1" min="8" max="8" width="18.0"/>
    <col customWidth="1" min="9" max="9" width="14.0"/>
    <col customWidth="1" min="10" max="10" width="16.0"/>
    <col customWidth="1" min="11" max="11" width="18.0"/>
    <col customWidth="1" min="12" max="26" width="8.63"/>
  </cols>
  <sheetData>
    <row r="1">
      <c r="A1" s="2" t="s">
        <v>1</v>
      </c>
    </row>
    <row r="2">
      <c r="A2" s="4" t="s">
        <v>4</v>
      </c>
    </row>
    <row r="4">
      <c r="A4" s="6" t="s">
        <v>5</v>
      </c>
      <c r="B4" s="6" t="s">
        <v>7</v>
      </c>
      <c r="C4" s="6" t="s">
        <v>8</v>
      </c>
      <c r="D4" s="6" t="s">
        <v>9</v>
      </c>
      <c r="E4" s="6" t="s">
        <v>10</v>
      </c>
      <c r="F4" s="6" t="s">
        <v>11</v>
      </c>
      <c r="G4" s="6" t="s">
        <v>12</v>
      </c>
      <c r="H4" s="6" t="s">
        <v>13</v>
      </c>
      <c r="I4" s="6" t="s">
        <v>14</v>
      </c>
      <c r="J4" s="6" t="s">
        <v>15</v>
      </c>
      <c r="K4" s="6" t="s">
        <v>17</v>
      </c>
    </row>
    <row r="5">
      <c r="A5" s="9" t="s">
        <v>18</v>
      </c>
      <c r="B5" s="9" t="s">
        <v>20</v>
      </c>
      <c r="C5" s="9" t="s">
        <v>21</v>
      </c>
      <c r="D5" s="9">
        <v>12.0</v>
      </c>
      <c r="E5" s="9" t="s">
        <v>22</v>
      </c>
      <c r="F5" s="9">
        <v>6.95</v>
      </c>
      <c r="G5" s="9">
        <v>13085.0</v>
      </c>
      <c r="H5" s="9" t="s">
        <v>24</v>
      </c>
      <c r="I5" s="12">
        <v>83.4</v>
      </c>
      <c r="J5" s="9" t="s">
        <v>27</v>
      </c>
      <c r="K5" s="9" t="s">
        <v>29</v>
      </c>
    </row>
    <row r="6">
      <c r="A6" s="9" t="s">
        <v>18</v>
      </c>
      <c r="B6" s="9" t="s">
        <v>31</v>
      </c>
      <c r="C6" s="9" t="s">
        <v>33</v>
      </c>
      <c r="D6" s="9">
        <v>12.0</v>
      </c>
      <c r="E6" s="9" t="s">
        <v>22</v>
      </c>
      <c r="F6" s="9">
        <v>6.75</v>
      </c>
      <c r="G6" s="9">
        <v>13085.0</v>
      </c>
      <c r="H6" s="9" t="s">
        <v>24</v>
      </c>
      <c r="I6" s="12">
        <v>81.0</v>
      </c>
      <c r="J6" s="9" t="s">
        <v>27</v>
      </c>
      <c r="K6" s="9" t="s">
        <v>29</v>
      </c>
    </row>
    <row r="7">
      <c r="A7" s="9" t="s">
        <v>18</v>
      </c>
      <c r="B7" s="9" t="s">
        <v>34</v>
      </c>
      <c r="C7" s="9" t="s">
        <v>35</v>
      </c>
      <c r="D7" s="9">
        <v>12.0</v>
      </c>
      <c r="E7" s="9" t="s">
        <v>22</v>
      </c>
      <c r="F7" s="9">
        <v>6.75</v>
      </c>
      <c r="G7" s="9">
        <v>13085.0</v>
      </c>
      <c r="H7" s="9" t="s">
        <v>24</v>
      </c>
      <c r="I7" s="12">
        <v>81.0</v>
      </c>
      <c r="J7" s="9" t="s">
        <v>27</v>
      </c>
      <c r="K7" s="9" t="s">
        <v>29</v>
      </c>
    </row>
    <row r="8">
      <c r="A8" s="9" t="s">
        <v>18</v>
      </c>
      <c r="B8" s="9" t="s">
        <v>42</v>
      </c>
      <c r="C8" s="9" t="s">
        <v>45</v>
      </c>
      <c r="D8" s="9">
        <v>48.0</v>
      </c>
      <c r="E8" s="9" t="s">
        <v>22</v>
      </c>
      <c r="F8" s="9">
        <v>2.1</v>
      </c>
      <c r="G8" s="9">
        <v>13085.0</v>
      </c>
      <c r="H8" s="9" t="s">
        <v>24</v>
      </c>
      <c r="I8" s="12">
        <v>100.80000000000001</v>
      </c>
      <c r="J8" s="9" t="s">
        <v>27</v>
      </c>
      <c r="K8" s="9" t="s">
        <v>29</v>
      </c>
    </row>
    <row r="9">
      <c r="A9" s="9" t="s">
        <v>18</v>
      </c>
      <c r="B9" s="9" t="s">
        <v>48</v>
      </c>
      <c r="C9" s="9" t="s">
        <v>50</v>
      </c>
      <c r="D9" s="9">
        <v>24.0</v>
      </c>
      <c r="E9" s="9" t="s">
        <v>22</v>
      </c>
      <c r="F9" s="9">
        <v>1.25</v>
      </c>
      <c r="G9" s="9">
        <v>13085.0</v>
      </c>
      <c r="H9" s="9" t="s">
        <v>24</v>
      </c>
      <c r="I9" s="12">
        <v>30.0</v>
      </c>
      <c r="J9" s="9" t="s">
        <v>27</v>
      </c>
      <c r="K9" s="9" t="s">
        <v>29</v>
      </c>
    </row>
    <row r="10">
      <c r="A10" s="9" t="s">
        <v>18</v>
      </c>
      <c r="B10" s="9" t="s">
        <v>55</v>
      </c>
      <c r="C10" s="9" t="s">
        <v>56</v>
      </c>
      <c r="D10" s="9">
        <v>24.0</v>
      </c>
      <c r="E10" s="9" t="s">
        <v>22</v>
      </c>
      <c r="F10" s="9">
        <v>1.65</v>
      </c>
      <c r="G10" s="9">
        <v>13085.0</v>
      </c>
      <c r="H10" s="9" t="s">
        <v>24</v>
      </c>
      <c r="I10" s="12">
        <v>39.599999999999994</v>
      </c>
      <c r="J10" s="9" t="s">
        <v>27</v>
      </c>
      <c r="K10" s="9" t="s">
        <v>29</v>
      </c>
    </row>
    <row r="11">
      <c r="A11" s="9" t="s">
        <v>18</v>
      </c>
      <c r="B11" s="9" t="s">
        <v>61</v>
      </c>
      <c r="C11" s="9" t="s">
        <v>62</v>
      </c>
      <c r="D11" s="9">
        <v>3.0</v>
      </c>
      <c r="E11" s="9" t="s">
        <v>22</v>
      </c>
      <c r="F11" s="9">
        <v>5.95</v>
      </c>
      <c r="G11" s="9">
        <v>13085.0</v>
      </c>
      <c r="H11" s="9" t="s">
        <v>24</v>
      </c>
      <c r="I11" s="12">
        <v>17.85</v>
      </c>
      <c r="J11" s="9" t="s">
        <v>27</v>
      </c>
      <c r="K11" s="9" t="s">
        <v>29</v>
      </c>
    </row>
    <row r="12">
      <c r="A12" s="9" t="s">
        <v>65</v>
      </c>
      <c r="B12" s="9" t="s">
        <v>67</v>
      </c>
      <c r="C12" s="9" t="s">
        <v>69</v>
      </c>
      <c r="D12" s="9">
        <v>12.0</v>
      </c>
      <c r="E12" s="9" t="s">
        <v>71</v>
      </c>
      <c r="F12" s="9">
        <v>1.45</v>
      </c>
      <c r="G12" s="9">
        <v>13078.0</v>
      </c>
      <c r="H12" s="9" t="s">
        <v>24</v>
      </c>
      <c r="I12" s="12">
        <v>17.4</v>
      </c>
      <c r="J12" s="9" t="s">
        <v>27</v>
      </c>
      <c r="K12" s="9" t="s">
        <v>29</v>
      </c>
    </row>
    <row r="13">
      <c r="A13" s="9" t="s">
        <v>65</v>
      </c>
      <c r="B13" s="9" t="s">
        <v>74</v>
      </c>
      <c r="C13" s="9" t="s">
        <v>75</v>
      </c>
      <c r="D13" s="9">
        <v>12.0</v>
      </c>
      <c r="E13" s="9" t="s">
        <v>71</v>
      </c>
      <c r="F13" s="9">
        <v>1.65</v>
      </c>
      <c r="G13" s="9">
        <v>13078.0</v>
      </c>
      <c r="H13" s="9" t="s">
        <v>24</v>
      </c>
      <c r="I13" s="12">
        <v>19.799999999999997</v>
      </c>
      <c r="J13" s="9" t="s">
        <v>27</v>
      </c>
      <c r="K13" s="9" t="s">
        <v>29</v>
      </c>
    </row>
    <row r="14">
      <c r="A14" s="9" t="s">
        <v>65</v>
      </c>
      <c r="B14" s="9" t="s">
        <v>76</v>
      </c>
      <c r="C14" s="9" t="s">
        <v>77</v>
      </c>
      <c r="D14" s="9">
        <v>12.0</v>
      </c>
      <c r="E14" s="9" t="s">
        <v>71</v>
      </c>
      <c r="F14" s="9">
        <v>1.65</v>
      </c>
      <c r="G14" s="9">
        <v>13078.0</v>
      </c>
      <c r="H14" s="9" t="s">
        <v>24</v>
      </c>
      <c r="I14" s="12">
        <v>19.799999999999997</v>
      </c>
      <c r="J14" s="9" t="s">
        <v>27</v>
      </c>
      <c r="K14" s="9" t="s">
        <v>29</v>
      </c>
    </row>
    <row r="15">
      <c r="A15" s="9" t="s">
        <v>65</v>
      </c>
      <c r="B15" s="9" t="s">
        <v>84</v>
      </c>
      <c r="C15" s="9" t="s">
        <v>86</v>
      </c>
      <c r="D15" s="9">
        <v>16.0</v>
      </c>
      <c r="E15" s="9" t="s">
        <v>71</v>
      </c>
      <c r="F15" s="9">
        <v>3.39</v>
      </c>
      <c r="G15" s="9">
        <v>13078.0</v>
      </c>
      <c r="H15" s="9" t="s">
        <v>24</v>
      </c>
      <c r="I15" s="12">
        <v>54.24</v>
      </c>
      <c r="J15" s="9" t="s">
        <v>27</v>
      </c>
      <c r="K15" s="9" t="s">
        <v>29</v>
      </c>
    </row>
    <row r="16">
      <c r="A16" s="9" t="s">
        <v>65</v>
      </c>
      <c r="B16" s="9" t="s">
        <v>89</v>
      </c>
      <c r="C16" s="9" t="s">
        <v>91</v>
      </c>
      <c r="D16" s="9">
        <v>4.0</v>
      </c>
      <c r="E16" s="9" t="s">
        <v>71</v>
      </c>
      <c r="F16" s="9">
        <v>3.75</v>
      </c>
      <c r="G16" s="9">
        <v>13078.0</v>
      </c>
      <c r="H16" s="9" t="s">
        <v>24</v>
      </c>
      <c r="I16" s="12">
        <v>15.0</v>
      </c>
      <c r="J16" s="9" t="s">
        <v>27</v>
      </c>
      <c r="K16" s="9" t="s">
        <v>29</v>
      </c>
    </row>
    <row r="17">
      <c r="A17" s="9" t="s">
        <v>65</v>
      </c>
      <c r="B17" s="9" t="s">
        <v>97</v>
      </c>
      <c r="C17" s="9" t="s">
        <v>98</v>
      </c>
      <c r="D17" s="9">
        <v>2.0</v>
      </c>
      <c r="E17" s="9" t="s">
        <v>71</v>
      </c>
      <c r="F17" s="9">
        <v>8.5</v>
      </c>
      <c r="G17" s="9">
        <v>13078.0</v>
      </c>
      <c r="H17" s="9" t="s">
        <v>24</v>
      </c>
      <c r="I17" s="12">
        <v>17.0</v>
      </c>
      <c r="J17" s="9" t="s">
        <v>27</v>
      </c>
      <c r="K17" s="9" t="s">
        <v>29</v>
      </c>
    </row>
    <row r="18">
      <c r="A18" s="9" t="s">
        <v>65</v>
      </c>
      <c r="B18" s="9" t="s">
        <v>101</v>
      </c>
      <c r="C18" s="9" t="s">
        <v>103</v>
      </c>
      <c r="D18" s="9">
        <v>12.0</v>
      </c>
      <c r="E18" s="9" t="s">
        <v>71</v>
      </c>
      <c r="F18" s="9">
        <v>4.65</v>
      </c>
      <c r="G18" s="9">
        <v>13078.0</v>
      </c>
      <c r="H18" s="9" t="s">
        <v>24</v>
      </c>
      <c r="I18" s="12">
        <v>55.800000000000004</v>
      </c>
      <c r="J18" s="9" t="s">
        <v>27</v>
      </c>
      <c r="K18" s="9" t="s">
        <v>29</v>
      </c>
    </row>
    <row r="19">
      <c r="A19" s="9" t="s">
        <v>65</v>
      </c>
      <c r="B19" s="9" t="s">
        <v>104</v>
      </c>
      <c r="C19" s="9" t="s">
        <v>105</v>
      </c>
      <c r="D19" s="9">
        <v>12.0</v>
      </c>
      <c r="E19" s="9" t="s">
        <v>71</v>
      </c>
      <c r="F19" s="9">
        <v>2.1</v>
      </c>
      <c r="G19" s="9">
        <v>13078.0</v>
      </c>
      <c r="H19" s="9" t="s">
        <v>24</v>
      </c>
      <c r="I19" s="12">
        <v>25.200000000000003</v>
      </c>
      <c r="J19" s="9" t="s">
        <v>27</v>
      </c>
      <c r="K19" s="9" t="s">
        <v>29</v>
      </c>
    </row>
    <row r="20">
      <c r="A20" s="9" t="s">
        <v>65</v>
      </c>
      <c r="B20" s="9" t="s">
        <v>109</v>
      </c>
      <c r="C20" s="9" t="s">
        <v>110</v>
      </c>
      <c r="D20" s="9">
        <v>12.0</v>
      </c>
      <c r="E20" s="9" t="s">
        <v>71</v>
      </c>
      <c r="F20" s="9">
        <v>2.1</v>
      </c>
      <c r="G20" s="9">
        <v>13078.0</v>
      </c>
      <c r="H20" s="9" t="s">
        <v>24</v>
      </c>
      <c r="I20" s="12">
        <v>25.200000000000003</v>
      </c>
      <c r="J20" s="9" t="s">
        <v>27</v>
      </c>
      <c r="K20" s="9" t="s">
        <v>29</v>
      </c>
    </row>
    <row r="21" ht="15.75" customHeight="1">
      <c r="A21" s="9" t="s">
        <v>65</v>
      </c>
      <c r="B21" s="9" t="s">
        <v>113</v>
      </c>
      <c r="C21" s="9" t="s">
        <v>116</v>
      </c>
      <c r="D21" s="9">
        <v>3.0</v>
      </c>
      <c r="E21" s="9" t="s">
        <v>71</v>
      </c>
      <c r="F21" s="9">
        <v>5.95</v>
      </c>
      <c r="G21" s="9">
        <v>13078.0</v>
      </c>
      <c r="H21" s="9" t="s">
        <v>24</v>
      </c>
      <c r="I21" s="12">
        <v>17.85</v>
      </c>
      <c r="J21" s="9" t="s">
        <v>27</v>
      </c>
      <c r="K21" s="9" t="s">
        <v>29</v>
      </c>
    </row>
    <row r="22" ht="15.75" customHeight="1">
      <c r="A22" s="9" t="s">
        <v>120</v>
      </c>
      <c r="B22" s="9" t="s">
        <v>121</v>
      </c>
      <c r="C22" s="9" t="s">
        <v>122</v>
      </c>
      <c r="D22" s="9">
        <v>3.0</v>
      </c>
      <c r="E22" s="9" t="s">
        <v>123</v>
      </c>
      <c r="F22" s="9">
        <v>4.95</v>
      </c>
      <c r="G22" s="9">
        <v>13635.0</v>
      </c>
      <c r="H22" s="9" t="s">
        <v>24</v>
      </c>
      <c r="I22" s="12">
        <v>14.850000000000001</v>
      </c>
      <c r="J22" s="9" t="s">
        <v>27</v>
      </c>
      <c r="K22" s="9" t="s">
        <v>29</v>
      </c>
    </row>
    <row r="23" ht="15.75" customHeight="1">
      <c r="A23" s="9" t="s">
        <v>120</v>
      </c>
      <c r="B23" s="9" t="s">
        <v>74</v>
      </c>
      <c r="C23" s="9" t="s">
        <v>75</v>
      </c>
      <c r="D23" s="9">
        <v>12.0</v>
      </c>
      <c r="E23" s="9" t="s">
        <v>123</v>
      </c>
      <c r="F23" s="9">
        <v>1.65</v>
      </c>
      <c r="G23" s="9">
        <v>13635.0</v>
      </c>
      <c r="H23" s="9" t="s">
        <v>24</v>
      </c>
      <c r="I23" s="12">
        <v>19.799999999999997</v>
      </c>
      <c r="J23" s="9" t="s">
        <v>27</v>
      </c>
      <c r="K23" s="9" t="s">
        <v>29</v>
      </c>
    </row>
    <row r="24" ht="15.75" customHeight="1">
      <c r="A24" s="9" t="s">
        <v>120</v>
      </c>
      <c r="B24" s="9" t="s">
        <v>132</v>
      </c>
      <c r="C24" s="9" t="s">
        <v>134</v>
      </c>
      <c r="D24" s="9">
        <v>12.0</v>
      </c>
      <c r="E24" s="9" t="s">
        <v>123</v>
      </c>
      <c r="F24" s="9">
        <v>1.25</v>
      </c>
      <c r="G24" s="9">
        <v>13635.0</v>
      </c>
      <c r="H24" s="9" t="s">
        <v>24</v>
      </c>
      <c r="I24" s="12">
        <v>15.0</v>
      </c>
      <c r="J24" s="9" t="s">
        <v>27</v>
      </c>
      <c r="K24" s="9" t="s">
        <v>29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62.0"/>
    <col customWidth="1" min="3" max="3" width="50.0"/>
    <col customWidth="1" min="4" max="26" width="8.63"/>
  </cols>
  <sheetData>
    <row r="1">
      <c r="A1" s="3" t="s">
        <v>0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23</v>
      </c>
      <c r="B4" s="11" t="s">
        <v>26</v>
      </c>
      <c r="C4" s="11" t="s">
        <v>30</v>
      </c>
      <c r="D4" s="7"/>
      <c r="E4" s="7"/>
      <c r="F4" s="7"/>
      <c r="G4" s="7"/>
      <c r="H4" s="7"/>
    </row>
    <row r="5">
      <c r="A5" s="8" t="s">
        <v>38</v>
      </c>
      <c r="B5" s="8" t="s">
        <v>40</v>
      </c>
      <c r="C5" s="8" t="s">
        <v>44</v>
      </c>
      <c r="D5" s="7"/>
      <c r="E5" s="7"/>
      <c r="F5" s="7"/>
      <c r="G5" s="7"/>
      <c r="H5" s="7"/>
    </row>
    <row r="6">
      <c r="A6" s="8" t="s">
        <v>53</v>
      </c>
      <c r="B6" s="8" t="s">
        <v>54</v>
      </c>
      <c r="C6" s="8" t="s">
        <v>58</v>
      </c>
      <c r="D6" s="7"/>
      <c r="E6" s="7"/>
      <c r="F6" s="7"/>
      <c r="G6" s="7"/>
      <c r="H6" s="7"/>
    </row>
    <row r="7">
      <c r="A7" s="8" t="s">
        <v>64</v>
      </c>
      <c r="B7" s="8" t="s">
        <v>68</v>
      </c>
      <c r="C7" s="8" t="s">
        <v>72</v>
      </c>
      <c r="D7" s="7"/>
      <c r="E7" s="7"/>
      <c r="F7" s="7"/>
      <c r="G7" s="7"/>
      <c r="H7" s="7"/>
    </row>
    <row r="8">
      <c r="A8" s="8" t="s">
        <v>78</v>
      </c>
      <c r="B8" s="8" t="s">
        <v>81</v>
      </c>
      <c r="C8" s="8" t="s">
        <v>83</v>
      </c>
      <c r="D8" s="7"/>
      <c r="E8" s="7"/>
      <c r="F8" s="7"/>
      <c r="G8" s="7"/>
      <c r="H8" s="7"/>
    </row>
    <row r="9">
      <c r="A9" s="8" t="s">
        <v>92</v>
      </c>
      <c r="B9" s="8" t="s">
        <v>94</v>
      </c>
      <c r="C9" s="8" t="s">
        <v>96</v>
      </c>
      <c r="D9" s="7"/>
      <c r="E9" s="7"/>
      <c r="F9" s="7"/>
      <c r="G9" s="7"/>
      <c r="H9" s="7"/>
    </row>
    <row r="10">
      <c r="A10" s="8" t="s">
        <v>99</v>
      </c>
      <c r="B10" s="8" t="s">
        <v>100</v>
      </c>
      <c r="C10" s="8" t="s">
        <v>102</v>
      </c>
      <c r="D10" s="7"/>
      <c r="E10" s="7"/>
      <c r="F10" s="7"/>
      <c r="G10" s="7"/>
      <c r="H10" s="7"/>
    </row>
    <row r="11">
      <c r="A11" s="8" t="s">
        <v>106</v>
      </c>
      <c r="B11" s="8" t="s">
        <v>107</v>
      </c>
      <c r="C11" s="8" t="s">
        <v>108</v>
      </c>
      <c r="D11" s="7"/>
      <c r="E11" s="7"/>
      <c r="F11" s="7"/>
      <c r="G11" s="7"/>
      <c r="H11" s="7"/>
    </row>
    <row r="12">
      <c r="A12" s="8" t="s">
        <v>115</v>
      </c>
      <c r="B12" s="8" t="s">
        <v>117</v>
      </c>
      <c r="C12" s="8" t="s">
        <v>119</v>
      </c>
      <c r="D12" s="7"/>
      <c r="E12" s="7"/>
      <c r="F12" s="7"/>
      <c r="G12" s="7"/>
      <c r="H12" s="7"/>
    </row>
    <row r="13">
      <c r="A13" s="8" t="s">
        <v>124</v>
      </c>
      <c r="B13" s="8" t="s">
        <v>127</v>
      </c>
      <c r="C13" s="8" t="s">
        <v>129</v>
      </c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42.0"/>
    <col customWidth="1" min="3" max="4" width="48.0"/>
    <col customWidth="1" min="5" max="26" width="8.63"/>
  </cols>
  <sheetData>
    <row r="1">
      <c r="A1" s="3" t="s">
        <v>135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136</v>
      </c>
      <c r="B4" s="11" t="s">
        <v>137</v>
      </c>
      <c r="C4" s="11" t="s">
        <v>138</v>
      </c>
      <c r="D4" s="11" t="s">
        <v>139</v>
      </c>
      <c r="E4" s="7"/>
      <c r="F4" s="7"/>
      <c r="G4" s="7"/>
      <c r="H4" s="7"/>
    </row>
    <row r="5">
      <c r="A5" s="8" t="s">
        <v>140</v>
      </c>
      <c r="B5" s="8" t="s">
        <v>141</v>
      </c>
      <c r="C5" s="8" t="s">
        <v>142</v>
      </c>
      <c r="D5" s="8" t="s">
        <v>143</v>
      </c>
      <c r="E5" s="7"/>
      <c r="F5" s="7"/>
      <c r="G5" s="7"/>
      <c r="H5" s="7"/>
    </row>
    <row r="6">
      <c r="A6" s="8" t="s">
        <v>144</v>
      </c>
      <c r="B6" s="8" t="s">
        <v>145</v>
      </c>
      <c r="C6" s="8" t="s">
        <v>146</v>
      </c>
      <c r="D6" s="8" t="s">
        <v>147</v>
      </c>
      <c r="E6" s="7"/>
      <c r="F6" s="7"/>
      <c r="G6" s="7"/>
      <c r="H6" s="7"/>
    </row>
    <row r="7">
      <c r="A7" s="8" t="s">
        <v>148</v>
      </c>
      <c r="B7" s="8" t="s">
        <v>149</v>
      </c>
      <c r="C7" s="8" t="s">
        <v>150</v>
      </c>
      <c r="D7" s="8" t="s">
        <v>151</v>
      </c>
      <c r="E7" s="7"/>
      <c r="F7" s="7"/>
      <c r="G7" s="7"/>
      <c r="H7" s="7"/>
    </row>
    <row r="8">
      <c r="A8" s="8" t="s">
        <v>152</v>
      </c>
      <c r="B8" s="8" t="s">
        <v>153</v>
      </c>
      <c r="C8" s="8" t="s">
        <v>154</v>
      </c>
      <c r="D8" s="8" t="s">
        <v>155</v>
      </c>
      <c r="E8" s="7"/>
      <c r="F8" s="7"/>
      <c r="G8" s="7"/>
      <c r="H8" s="7"/>
    </row>
    <row r="9">
      <c r="A9" s="8" t="s">
        <v>156</v>
      </c>
      <c r="B9" s="8" t="s">
        <v>157</v>
      </c>
      <c r="C9" s="8" t="s">
        <v>158</v>
      </c>
      <c r="D9" s="8" t="s">
        <v>159</v>
      </c>
      <c r="E9" s="7"/>
      <c r="F9" s="7"/>
      <c r="G9" s="7"/>
      <c r="H9" s="7"/>
    </row>
    <row r="10">
      <c r="A10" s="8" t="s">
        <v>160</v>
      </c>
      <c r="B10" s="8" t="s">
        <v>161</v>
      </c>
      <c r="C10" s="8" t="s">
        <v>162</v>
      </c>
      <c r="D10" s="8" t="s">
        <v>163</v>
      </c>
      <c r="E10" s="7"/>
      <c r="F10" s="7"/>
      <c r="G10" s="7"/>
      <c r="H10" s="7"/>
    </row>
    <row r="11">
      <c r="A11" s="8" t="s">
        <v>164</v>
      </c>
      <c r="B11" s="8" t="s">
        <v>165</v>
      </c>
      <c r="C11" s="8" t="s">
        <v>166</v>
      </c>
      <c r="D11" s="8" t="s">
        <v>167</v>
      </c>
      <c r="E11" s="7"/>
      <c r="F11" s="7"/>
      <c r="G11" s="7"/>
      <c r="H11" s="7"/>
    </row>
    <row r="12">
      <c r="A12" s="8" t="s">
        <v>168</v>
      </c>
      <c r="B12" s="8" t="s">
        <v>169</v>
      </c>
      <c r="C12" s="8" t="s">
        <v>170</v>
      </c>
      <c r="D12" s="8" t="s">
        <v>171</v>
      </c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0"/>
    <col customWidth="1" min="2" max="2" width="46.0"/>
    <col customWidth="1" min="3" max="3" width="48.0"/>
    <col customWidth="1" min="4" max="4" width="46.0"/>
    <col customWidth="1" min="5" max="5" width="50.0"/>
    <col customWidth="1" min="6" max="26" width="8.63"/>
  </cols>
  <sheetData>
    <row r="1">
      <c r="A1" s="3" t="s">
        <v>172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173</v>
      </c>
      <c r="B4" s="11" t="s">
        <v>174</v>
      </c>
      <c r="C4" s="11" t="s">
        <v>175</v>
      </c>
      <c r="D4" s="11" t="s">
        <v>176</v>
      </c>
      <c r="E4" s="11" t="s">
        <v>177</v>
      </c>
      <c r="F4" s="7"/>
      <c r="G4" s="7"/>
      <c r="H4" s="7"/>
    </row>
    <row r="5">
      <c r="A5" s="8" t="s">
        <v>178</v>
      </c>
      <c r="B5" s="8" t="s">
        <v>179</v>
      </c>
      <c r="C5" s="8" t="s">
        <v>180</v>
      </c>
      <c r="D5" s="8" t="s">
        <v>181</v>
      </c>
      <c r="E5" s="8" t="s">
        <v>182</v>
      </c>
      <c r="F5" s="7"/>
      <c r="G5" s="7"/>
      <c r="H5" s="7"/>
    </row>
    <row r="6">
      <c r="A6" s="8" t="s">
        <v>183</v>
      </c>
      <c r="B6" s="8" t="s">
        <v>184</v>
      </c>
      <c r="C6" s="8" t="s">
        <v>185</v>
      </c>
      <c r="D6" s="8" t="s">
        <v>186</v>
      </c>
      <c r="E6" s="8" t="s">
        <v>187</v>
      </c>
      <c r="F6" s="7"/>
      <c r="G6" s="7"/>
      <c r="H6" s="7"/>
    </row>
    <row r="7">
      <c r="A7" s="8" t="s">
        <v>188</v>
      </c>
      <c r="B7" s="8" t="s">
        <v>189</v>
      </c>
      <c r="C7" s="8" t="s">
        <v>190</v>
      </c>
      <c r="D7" s="8" t="s">
        <v>191</v>
      </c>
      <c r="E7" s="8" t="s">
        <v>192</v>
      </c>
      <c r="F7" s="7"/>
      <c r="G7" s="7"/>
      <c r="H7" s="7"/>
    </row>
    <row r="8">
      <c r="A8" s="8" t="s">
        <v>193</v>
      </c>
      <c r="B8" s="8" t="s">
        <v>194</v>
      </c>
      <c r="C8" s="8" t="s">
        <v>195</v>
      </c>
      <c r="D8" s="8" t="s">
        <v>196</v>
      </c>
      <c r="E8" s="8" t="s">
        <v>197</v>
      </c>
      <c r="F8" s="7"/>
      <c r="G8" s="7"/>
      <c r="H8" s="7"/>
    </row>
    <row r="9">
      <c r="A9" s="8" t="s">
        <v>198</v>
      </c>
      <c r="B9" s="8" t="s">
        <v>199</v>
      </c>
      <c r="C9" s="8" t="s">
        <v>200</v>
      </c>
      <c r="D9" s="8" t="s">
        <v>201</v>
      </c>
      <c r="E9" s="8" t="s">
        <v>202</v>
      </c>
      <c r="F9" s="7"/>
      <c r="G9" s="7"/>
      <c r="H9" s="7"/>
    </row>
    <row r="10">
      <c r="A10" s="8" t="s">
        <v>203</v>
      </c>
      <c r="B10" s="8" t="s">
        <v>204</v>
      </c>
      <c r="C10" s="8" t="s">
        <v>205</v>
      </c>
      <c r="D10" s="8" t="s">
        <v>206</v>
      </c>
      <c r="E10" s="8" t="s">
        <v>207</v>
      </c>
      <c r="F10" s="7"/>
      <c r="G10" s="7"/>
      <c r="H10" s="7"/>
    </row>
    <row r="11">
      <c r="A11" s="7"/>
      <c r="B11" s="7"/>
      <c r="C11" s="7"/>
      <c r="D11" s="7"/>
      <c r="E11" s="7"/>
      <c r="F11" s="7"/>
      <c r="G11" s="7"/>
      <c r="H11" s="7"/>
    </row>
    <row r="12">
      <c r="A12" s="7"/>
      <c r="B12" s="7"/>
      <c r="C12" s="7"/>
      <c r="D12" s="7"/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88.0"/>
    <col customWidth="1" min="3" max="26" width="8.63"/>
  </cols>
  <sheetData>
    <row r="1">
      <c r="A1" s="3" t="s">
        <v>208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209</v>
      </c>
      <c r="B4" s="11" t="s">
        <v>26</v>
      </c>
      <c r="C4" s="7"/>
      <c r="D4" s="7"/>
      <c r="E4" s="7"/>
      <c r="F4" s="7"/>
      <c r="G4" s="7"/>
      <c r="H4" s="7"/>
    </row>
    <row r="5">
      <c r="A5" s="8" t="s">
        <v>210</v>
      </c>
      <c r="B5" s="8" t="s">
        <v>211</v>
      </c>
      <c r="C5" s="7"/>
      <c r="D5" s="7"/>
      <c r="E5" s="7"/>
      <c r="F5" s="7"/>
      <c r="G5" s="7"/>
      <c r="H5" s="7"/>
    </row>
    <row r="6">
      <c r="A6" s="8" t="s">
        <v>212</v>
      </c>
      <c r="B6" s="8" t="s">
        <v>213</v>
      </c>
      <c r="C6" s="7"/>
      <c r="D6" s="7"/>
      <c r="E6" s="7"/>
      <c r="F6" s="7"/>
      <c r="G6" s="7"/>
      <c r="H6" s="7"/>
    </row>
    <row r="7">
      <c r="A7" s="8" t="s">
        <v>215</v>
      </c>
      <c r="B7" s="8" t="s">
        <v>216</v>
      </c>
      <c r="C7" s="7"/>
      <c r="D7" s="7"/>
      <c r="E7" s="7"/>
      <c r="F7" s="7"/>
      <c r="G7" s="7"/>
      <c r="H7" s="7"/>
    </row>
    <row r="8">
      <c r="A8" s="8" t="s">
        <v>217</v>
      </c>
      <c r="B8" s="8" t="s">
        <v>218</v>
      </c>
      <c r="C8" s="7"/>
      <c r="D8" s="7"/>
      <c r="E8" s="7"/>
      <c r="F8" s="7"/>
      <c r="G8" s="7"/>
      <c r="H8" s="7"/>
    </row>
    <row r="9">
      <c r="A9" s="8" t="s">
        <v>219</v>
      </c>
      <c r="B9" s="8" t="s">
        <v>220</v>
      </c>
      <c r="C9" s="7"/>
      <c r="D9" s="7"/>
      <c r="E9" s="7"/>
      <c r="F9" s="7"/>
      <c r="G9" s="7"/>
      <c r="H9" s="7"/>
    </row>
    <row r="10">
      <c r="A10" s="8" t="s">
        <v>221</v>
      </c>
      <c r="B10" s="8" t="s">
        <v>222</v>
      </c>
      <c r="C10" s="7"/>
      <c r="D10" s="7"/>
      <c r="E10" s="7"/>
      <c r="F10" s="7"/>
      <c r="G10" s="7"/>
      <c r="H10" s="7"/>
    </row>
    <row r="11">
      <c r="A11" s="7"/>
      <c r="B11" s="7"/>
      <c r="C11" s="7"/>
      <c r="D11" s="7"/>
      <c r="E11" s="7"/>
      <c r="F11" s="7"/>
      <c r="G11" s="7"/>
      <c r="H11" s="7"/>
    </row>
    <row r="12">
      <c r="A12" s="7"/>
      <c r="B12" s="7"/>
      <c r="C12" s="7"/>
      <c r="D12" s="7"/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5.0"/>
    <col customWidth="1" min="2" max="2" width="55.0"/>
    <col customWidth="1" min="3" max="3" width="60.0"/>
    <col customWidth="1" min="4" max="26" width="8.63"/>
  </cols>
  <sheetData>
    <row r="1">
      <c r="A1" s="3" t="s">
        <v>214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223</v>
      </c>
      <c r="B4" s="11" t="s">
        <v>224</v>
      </c>
      <c r="C4" s="11" t="s">
        <v>225</v>
      </c>
      <c r="D4" s="7"/>
      <c r="E4" s="7"/>
      <c r="F4" s="7"/>
      <c r="G4" s="7"/>
      <c r="H4" s="7"/>
    </row>
    <row r="5">
      <c r="A5" s="8" t="s">
        <v>226</v>
      </c>
      <c r="B5" s="8" t="s">
        <v>227</v>
      </c>
      <c r="C5" s="8" t="s">
        <v>228</v>
      </c>
      <c r="D5" s="7"/>
      <c r="E5" s="7"/>
      <c r="F5" s="7"/>
      <c r="G5" s="7"/>
      <c r="H5" s="7"/>
    </row>
    <row r="6">
      <c r="A6" s="8" t="s">
        <v>229</v>
      </c>
      <c r="B6" s="8" t="s">
        <v>230</v>
      </c>
      <c r="C6" s="8" t="s">
        <v>231</v>
      </c>
      <c r="D6" s="7"/>
      <c r="E6" s="7"/>
      <c r="F6" s="7"/>
      <c r="G6" s="7"/>
      <c r="H6" s="7"/>
    </row>
    <row r="7">
      <c r="A7" s="8" t="s">
        <v>232</v>
      </c>
      <c r="B7" s="8" t="s">
        <v>233</v>
      </c>
      <c r="C7" s="8" t="s">
        <v>234</v>
      </c>
      <c r="D7" s="7"/>
      <c r="E7" s="7"/>
      <c r="F7" s="7"/>
      <c r="G7" s="7"/>
      <c r="H7" s="7"/>
    </row>
    <row r="8">
      <c r="A8" s="8" t="s">
        <v>235</v>
      </c>
      <c r="B8" s="8" t="s">
        <v>236</v>
      </c>
      <c r="C8" s="8" t="s">
        <v>237</v>
      </c>
      <c r="D8" s="7"/>
      <c r="E8" s="7"/>
      <c r="F8" s="7"/>
      <c r="G8" s="7"/>
      <c r="H8" s="7"/>
    </row>
    <row r="9">
      <c r="A9" s="8" t="s">
        <v>238</v>
      </c>
      <c r="B9" s="8" t="s">
        <v>239</v>
      </c>
      <c r="C9" s="8" t="s">
        <v>240</v>
      </c>
      <c r="D9" s="7"/>
      <c r="E9" s="7"/>
      <c r="F9" s="7"/>
      <c r="G9" s="7"/>
      <c r="H9" s="7"/>
    </row>
    <row r="10">
      <c r="A10" s="8" t="s">
        <v>241</v>
      </c>
      <c r="B10" s="8" t="s">
        <v>242</v>
      </c>
      <c r="C10" s="8" t="s">
        <v>243</v>
      </c>
      <c r="D10" s="7"/>
      <c r="E10" s="7"/>
      <c r="F10" s="7"/>
      <c r="G10" s="7"/>
      <c r="H10" s="7"/>
    </row>
    <row r="11">
      <c r="A11" s="8" t="s">
        <v>244</v>
      </c>
      <c r="B11" s="8" t="s">
        <v>245</v>
      </c>
      <c r="C11" s="8" t="s">
        <v>246</v>
      </c>
      <c r="D11" s="7"/>
      <c r="E11" s="7"/>
      <c r="F11" s="7"/>
      <c r="G11" s="7"/>
      <c r="H11" s="7"/>
    </row>
    <row r="12">
      <c r="A12" s="8" t="s">
        <v>247</v>
      </c>
      <c r="B12" s="8" t="s">
        <v>248</v>
      </c>
      <c r="C12" s="8" t="s">
        <v>249</v>
      </c>
      <c r="D12" s="7"/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54.0"/>
    <col customWidth="1" min="3" max="3" width="48.0"/>
    <col customWidth="1" min="4" max="4" width="30.0"/>
    <col customWidth="1" min="5" max="5" width="48.0"/>
    <col customWidth="1" min="6" max="6" width="42.0"/>
    <col customWidth="1" min="7" max="26" width="8.63"/>
  </cols>
  <sheetData>
    <row r="1">
      <c r="A1" s="3" t="s">
        <v>250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251</v>
      </c>
      <c r="B4" s="11" t="s">
        <v>252</v>
      </c>
      <c r="C4" s="11" t="s">
        <v>253</v>
      </c>
      <c r="D4" s="11" t="s">
        <v>254</v>
      </c>
      <c r="E4" s="11" t="s">
        <v>255</v>
      </c>
      <c r="F4" s="11" t="s">
        <v>256</v>
      </c>
      <c r="G4" s="7"/>
      <c r="H4" s="7"/>
    </row>
    <row r="5">
      <c r="A5" s="8" t="s">
        <v>257</v>
      </c>
      <c r="B5" s="8" t="s">
        <v>258</v>
      </c>
      <c r="C5" s="8" t="s">
        <v>259</v>
      </c>
      <c r="D5" s="8" t="s">
        <v>260</v>
      </c>
      <c r="E5" s="8" t="s">
        <v>261</v>
      </c>
      <c r="F5" s="8" t="s">
        <v>262</v>
      </c>
      <c r="G5" s="7"/>
      <c r="H5" s="7"/>
    </row>
    <row r="6">
      <c r="A6" s="8" t="s">
        <v>263</v>
      </c>
      <c r="B6" s="8" t="s">
        <v>264</v>
      </c>
      <c r="C6" s="8" t="s">
        <v>265</v>
      </c>
      <c r="D6" s="8" t="s">
        <v>266</v>
      </c>
      <c r="E6" s="8" t="s">
        <v>267</v>
      </c>
      <c r="F6" s="8" t="s">
        <v>268</v>
      </c>
      <c r="G6" s="7"/>
      <c r="H6" s="7"/>
    </row>
    <row r="7">
      <c r="A7" s="8" t="s">
        <v>269</v>
      </c>
      <c r="B7" s="8" t="s">
        <v>270</v>
      </c>
      <c r="C7" s="8" t="s">
        <v>271</v>
      </c>
      <c r="D7" s="8" t="s">
        <v>272</v>
      </c>
      <c r="E7" s="8" t="s">
        <v>273</v>
      </c>
      <c r="F7" s="8" t="s">
        <v>274</v>
      </c>
      <c r="G7" s="7"/>
      <c r="H7" s="7"/>
    </row>
    <row r="8">
      <c r="A8" s="7"/>
      <c r="B8" s="7"/>
      <c r="C8" s="7"/>
      <c r="D8" s="7"/>
      <c r="E8" s="7"/>
      <c r="F8" s="7"/>
      <c r="G8" s="7"/>
      <c r="H8" s="7"/>
    </row>
    <row r="9">
      <c r="A9" s="7"/>
      <c r="B9" s="7"/>
      <c r="C9" s="7"/>
      <c r="D9" s="7"/>
      <c r="E9" s="7"/>
      <c r="F9" s="7"/>
      <c r="G9" s="7"/>
      <c r="H9" s="7"/>
    </row>
    <row r="10">
      <c r="A10" s="7"/>
      <c r="B10" s="7"/>
      <c r="C10" s="7"/>
      <c r="D10" s="7"/>
      <c r="E10" s="7"/>
      <c r="F10" s="7"/>
      <c r="G10" s="7"/>
      <c r="H10" s="7"/>
    </row>
    <row r="11">
      <c r="A11" s="7"/>
      <c r="B11" s="7"/>
      <c r="C11" s="7"/>
      <c r="D11" s="7"/>
      <c r="E11" s="7"/>
      <c r="F11" s="7"/>
      <c r="G11" s="7"/>
      <c r="H11" s="7"/>
    </row>
    <row r="12">
      <c r="A12" s="7"/>
      <c r="B12" s="7"/>
      <c r="C12" s="7"/>
      <c r="D12" s="7"/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88.0"/>
    <col customWidth="1" min="3" max="26" width="8.63"/>
  </cols>
  <sheetData>
    <row r="1">
      <c r="A1" s="3" t="s">
        <v>275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25</v>
      </c>
      <c r="B4" s="11" t="s">
        <v>26</v>
      </c>
      <c r="C4" s="7"/>
      <c r="D4" s="7"/>
      <c r="E4" s="7"/>
      <c r="F4" s="7"/>
      <c r="G4" s="7"/>
      <c r="H4" s="7"/>
    </row>
    <row r="5">
      <c r="A5" s="8" t="s">
        <v>276</v>
      </c>
      <c r="B5" s="8" t="s">
        <v>277</v>
      </c>
      <c r="C5" s="7"/>
      <c r="D5" s="7"/>
      <c r="E5" s="7"/>
      <c r="F5" s="7"/>
      <c r="G5" s="7"/>
      <c r="H5" s="7"/>
    </row>
    <row r="6">
      <c r="A6" s="8" t="s">
        <v>278</v>
      </c>
      <c r="B6" s="8" t="s">
        <v>279</v>
      </c>
      <c r="C6" s="7"/>
      <c r="D6" s="7"/>
      <c r="E6" s="7"/>
      <c r="F6" s="7"/>
      <c r="G6" s="7"/>
      <c r="H6" s="7"/>
    </row>
    <row r="7">
      <c r="A7" s="8" t="s">
        <v>280</v>
      </c>
      <c r="B7" s="8" t="s">
        <v>281</v>
      </c>
      <c r="C7" s="7"/>
      <c r="D7" s="7"/>
      <c r="E7" s="7"/>
      <c r="F7" s="7"/>
      <c r="G7" s="7"/>
      <c r="H7" s="7"/>
    </row>
    <row r="8">
      <c r="A8" s="8" t="s">
        <v>282</v>
      </c>
      <c r="B8" s="8" t="s">
        <v>283</v>
      </c>
      <c r="C8" s="7"/>
      <c r="D8" s="7"/>
      <c r="E8" s="7"/>
      <c r="F8" s="7"/>
      <c r="G8" s="7"/>
      <c r="H8" s="7"/>
    </row>
    <row r="9">
      <c r="A9" s="8" t="s">
        <v>285</v>
      </c>
      <c r="B9" s="8" t="s">
        <v>286</v>
      </c>
      <c r="C9" s="7"/>
      <c r="D9" s="7"/>
      <c r="E9" s="7"/>
      <c r="F9" s="7"/>
      <c r="G9" s="7"/>
      <c r="H9" s="7"/>
    </row>
    <row r="10">
      <c r="A10" s="8" t="s">
        <v>287</v>
      </c>
      <c r="B10" s="8" t="s">
        <v>289</v>
      </c>
      <c r="C10" s="7"/>
      <c r="D10" s="7"/>
      <c r="E10" s="7"/>
      <c r="F10" s="7"/>
      <c r="G10" s="7"/>
      <c r="H10" s="7"/>
    </row>
    <row r="11">
      <c r="A11" s="8" t="s">
        <v>292</v>
      </c>
      <c r="B11" s="8" t="s">
        <v>294</v>
      </c>
      <c r="C11" s="7"/>
      <c r="D11" s="7"/>
      <c r="E11" s="7"/>
      <c r="F11" s="7"/>
      <c r="G11" s="7"/>
      <c r="H11" s="7"/>
    </row>
    <row r="12">
      <c r="A12" s="8" t="s">
        <v>298</v>
      </c>
      <c r="B12" s="8" t="s">
        <v>300</v>
      </c>
      <c r="C12" s="7"/>
      <c r="D12" s="7"/>
      <c r="E12" s="7"/>
      <c r="F12" s="7"/>
      <c r="G12" s="7"/>
      <c r="H12" s="7"/>
    </row>
    <row r="13">
      <c r="A13" s="8" t="s">
        <v>303</v>
      </c>
      <c r="B13" s="8" t="s">
        <v>305</v>
      </c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55.0"/>
    <col customWidth="1" min="3" max="3" width="70.0"/>
    <col customWidth="1" min="4" max="26" width="8.63"/>
  </cols>
  <sheetData>
    <row r="1">
      <c r="A1" s="3" t="s">
        <v>284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288</v>
      </c>
      <c r="B4" s="11" t="s">
        <v>290</v>
      </c>
      <c r="C4" s="11" t="s">
        <v>291</v>
      </c>
      <c r="D4" s="7"/>
      <c r="E4" s="7"/>
      <c r="F4" s="7"/>
      <c r="G4" s="7"/>
      <c r="H4" s="7"/>
    </row>
    <row r="5">
      <c r="A5" s="8" t="s">
        <v>293</v>
      </c>
      <c r="B5" s="8" t="s">
        <v>295</v>
      </c>
      <c r="C5" s="8" t="s">
        <v>296</v>
      </c>
      <c r="D5" s="7"/>
      <c r="E5" s="7"/>
      <c r="F5" s="7"/>
      <c r="G5" s="7"/>
      <c r="H5" s="7"/>
    </row>
    <row r="6">
      <c r="A6" s="8" t="s">
        <v>297</v>
      </c>
      <c r="B6" s="8" t="s">
        <v>299</v>
      </c>
      <c r="C6" s="8" t="s">
        <v>301</v>
      </c>
      <c r="D6" s="7"/>
      <c r="E6" s="7"/>
      <c r="F6" s="7"/>
      <c r="G6" s="7"/>
      <c r="H6" s="7"/>
    </row>
    <row r="7">
      <c r="A7" s="8" t="s">
        <v>302</v>
      </c>
      <c r="B7" s="8" t="s">
        <v>304</v>
      </c>
      <c r="C7" s="8" t="s">
        <v>306</v>
      </c>
      <c r="D7" s="7"/>
      <c r="E7" s="7"/>
      <c r="F7" s="7"/>
      <c r="G7" s="7"/>
      <c r="H7" s="7"/>
    </row>
    <row r="8">
      <c r="A8" s="8" t="s">
        <v>307</v>
      </c>
      <c r="B8" s="8" t="s">
        <v>308</v>
      </c>
      <c r="C8" s="8" t="s">
        <v>309</v>
      </c>
      <c r="D8" s="7"/>
      <c r="E8" s="7"/>
      <c r="F8" s="7"/>
      <c r="G8" s="7"/>
      <c r="H8" s="7"/>
    </row>
    <row r="9">
      <c r="A9" s="8" t="s">
        <v>310</v>
      </c>
      <c r="B9" s="8" t="s">
        <v>311</v>
      </c>
      <c r="C9" s="8" t="s">
        <v>312</v>
      </c>
      <c r="D9" s="7"/>
      <c r="E9" s="7"/>
      <c r="F9" s="7"/>
      <c r="G9" s="7"/>
      <c r="H9" s="7"/>
    </row>
    <row r="10">
      <c r="A10" s="8" t="s">
        <v>313</v>
      </c>
      <c r="B10" s="8" t="s">
        <v>314</v>
      </c>
      <c r="C10" s="8" t="s">
        <v>315</v>
      </c>
      <c r="D10" s="7"/>
      <c r="E10" s="7"/>
      <c r="F10" s="7"/>
      <c r="G10" s="7"/>
      <c r="H10" s="7"/>
    </row>
    <row r="11">
      <c r="A11" s="8" t="s">
        <v>316</v>
      </c>
      <c r="B11" s="8" t="s">
        <v>317</v>
      </c>
      <c r="C11" s="8" t="s">
        <v>318</v>
      </c>
      <c r="D11" s="7"/>
      <c r="E11" s="7"/>
      <c r="F11" s="7"/>
      <c r="G11" s="7"/>
      <c r="H11" s="7"/>
    </row>
    <row r="12">
      <c r="A12" s="7"/>
      <c r="B12" s="7"/>
      <c r="C12" s="7"/>
      <c r="D12" s="7"/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88.0"/>
    <col customWidth="1" min="3" max="26" width="8.63"/>
  </cols>
  <sheetData>
    <row r="1">
      <c r="A1" s="3" t="s">
        <v>319</v>
      </c>
    </row>
    <row r="2">
      <c r="A2" s="5" t="s">
        <v>3</v>
      </c>
    </row>
    <row r="3">
      <c r="A3" s="7"/>
      <c r="B3" s="7"/>
      <c r="C3" s="7"/>
      <c r="D3" s="7"/>
      <c r="E3" s="7"/>
      <c r="F3" s="7"/>
      <c r="G3" s="7"/>
      <c r="H3" s="7"/>
    </row>
    <row r="4">
      <c r="A4" s="11" t="s">
        <v>320</v>
      </c>
      <c r="B4" s="11" t="s">
        <v>26</v>
      </c>
      <c r="C4" s="7"/>
      <c r="D4" s="7"/>
      <c r="E4" s="7"/>
      <c r="F4" s="7"/>
      <c r="G4" s="7"/>
      <c r="H4" s="7"/>
    </row>
    <row r="5">
      <c r="A5" s="8" t="s">
        <v>321</v>
      </c>
      <c r="B5" s="8" t="s">
        <v>322</v>
      </c>
      <c r="C5" s="7"/>
      <c r="D5" s="7"/>
      <c r="E5" s="7"/>
      <c r="F5" s="7"/>
      <c r="G5" s="7"/>
      <c r="H5" s="7"/>
    </row>
    <row r="6">
      <c r="A6" s="8" t="s">
        <v>323</v>
      </c>
      <c r="B6" s="8" t="s">
        <v>324</v>
      </c>
      <c r="C6" s="7"/>
      <c r="D6" s="7"/>
      <c r="E6" s="7"/>
      <c r="F6" s="7"/>
      <c r="G6" s="7"/>
      <c r="H6" s="7"/>
    </row>
    <row r="7">
      <c r="A7" s="8" t="s">
        <v>325</v>
      </c>
      <c r="B7" s="8" t="s">
        <v>326</v>
      </c>
      <c r="C7" s="7"/>
      <c r="D7" s="7"/>
      <c r="E7" s="7"/>
      <c r="F7" s="7"/>
      <c r="G7" s="7"/>
      <c r="H7" s="7"/>
    </row>
    <row r="8">
      <c r="A8" s="8" t="s">
        <v>327</v>
      </c>
      <c r="B8" s="8" t="s">
        <v>328</v>
      </c>
      <c r="C8" s="7"/>
      <c r="D8" s="7"/>
      <c r="E8" s="7"/>
      <c r="F8" s="7"/>
      <c r="G8" s="7"/>
      <c r="H8" s="7"/>
    </row>
    <row r="9">
      <c r="A9" s="8" t="s">
        <v>329</v>
      </c>
      <c r="B9" s="8" t="s">
        <v>330</v>
      </c>
      <c r="C9" s="7"/>
      <c r="D9" s="7"/>
      <c r="E9" s="7"/>
      <c r="F9" s="7"/>
      <c r="G9" s="7"/>
      <c r="H9" s="7"/>
    </row>
    <row r="10">
      <c r="A10" s="7"/>
      <c r="B10" s="7"/>
      <c r="C10" s="7"/>
      <c r="D10" s="7"/>
      <c r="E10" s="7"/>
      <c r="F10" s="7"/>
      <c r="G10" s="7"/>
      <c r="H10" s="7"/>
    </row>
    <row r="11">
      <c r="A11" s="7"/>
      <c r="B11" s="7"/>
      <c r="C11" s="7"/>
      <c r="D11" s="7"/>
      <c r="E11" s="7"/>
      <c r="F11" s="7"/>
      <c r="G11" s="7"/>
      <c r="H11" s="7"/>
    </row>
    <row r="12">
      <c r="A12" s="7"/>
      <c r="B12" s="7"/>
      <c r="C12" s="7"/>
      <c r="D12" s="7"/>
      <c r="E12" s="7"/>
      <c r="F12" s="7"/>
      <c r="G12" s="7"/>
      <c r="H12" s="7"/>
    </row>
    <row r="13">
      <c r="A13" s="7"/>
      <c r="B13" s="7"/>
      <c r="C13" s="7"/>
      <c r="D13" s="7"/>
      <c r="E13" s="7"/>
      <c r="F13" s="7"/>
      <c r="G13" s="7"/>
      <c r="H13" s="7"/>
    </row>
    <row r="14">
      <c r="A14" s="7"/>
      <c r="B14" s="7"/>
      <c r="C14" s="7"/>
      <c r="D14" s="7"/>
      <c r="E14" s="7"/>
      <c r="F14" s="7"/>
      <c r="G14" s="7"/>
      <c r="H14" s="7"/>
    </row>
    <row r="15">
      <c r="A15" s="7"/>
      <c r="B15" s="7"/>
      <c r="C15" s="7"/>
      <c r="D15" s="7"/>
      <c r="E15" s="7"/>
      <c r="F15" s="7"/>
      <c r="G15" s="7"/>
      <c r="H15" s="7"/>
    </row>
    <row r="16">
      <c r="A16" s="7"/>
      <c r="B16" s="7"/>
      <c r="C16" s="7"/>
      <c r="D16" s="7"/>
      <c r="E16" s="7"/>
      <c r="F16" s="7"/>
      <c r="G16" s="7"/>
      <c r="H16" s="7"/>
    </row>
    <row r="17">
      <c r="A17" s="7"/>
      <c r="B17" s="7"/>
      <c r="C17" s="7"/>
      <c r="D17" s="7"/>
      <c r="E17" s="7"/>
      <c r="F17" s="7"/>
      <c r="G17" s="7"/>
      <c r="H17" s="7"/>
    </row>
    <row r="18">
      <c r="A18" s="7"/>
      <c r="B18" s="7"/>
      <c r="C18" s="7"/>
      <c r="D18" s="7"/>
      <c r="E18" s="7"/>
      <c r="F18" s="7"/>
      <c r="G18" s="7"/>
      <c r="H18" s="7"/>
    </row>
    <row r="19">
      <c r="A19" s="7"/>
      <c r="B19" s="7"/>
      <c r="C19" s="7"/>
      <c r="D19" s="7"/>
      <c r="E19" s="7"/>
      <c r="F19" s="7"/>
      <c r="G19" s="7"/>
      <c r="H19" s="7"/>
    </row>
    <row r="20">
      <c r="A20" s="7"/>
      <c r="B20" s="7"/>
      <c r="C20" s="7"/>
      <c r="D20" s="7"/>
      <c r="E20" s="7"/>
      <c r="F20" s="7"/>
      <c r="G20" s="7"/>
      <c r="H20" s="7"/>
    </row>
    <row r="21" ht="15.75" customHeight="1">
      <c r="A21" s="7"/>
      <c r="B21" s="7"/>
      <c r="C21" s="7"/>
      <c r="D21" s="7"/>
      <c r="E21" s="7"/>
      <c r="F21" s="7"/>
      <c r="G21" s="7"/>
      <c r="H21" s="7"/>
    </row>
    <row r="22" ht="15.75" customHeight="1">
      <c r="A22" s="7"/>
      <c r="B22" s="7"/>
      <c r="C22" s="7"/>
      <c r="D22" s="7"/>
      <c r="E22" s="7"/>
      <c r="F22" s="7"/>
      <c r="G22" s="7"/>
      <c r="H22" s="7"/>
    </row>
    <row r="23" ht="15.75" customHeight="1">
      <c r="A23" s="7"/>
      <c r="B23" s="7"/>
      <c r="C23" s="7"/>
      <c r="D23" s="7"/>
      <c r="E23" s="7"/>
      <c r="F23" s="7"/>
      <c r="G23" s="7"/>
      <c r="H23" s="7"/>
    </row>
    <row r="24" ht="15.75" customHeight="1">
      <c r="A24" s="7"/>
      <c r="B24" s="7"/>
      <c r="C24" s="7"/>
      <c r="D24" s="7"/>
      <c r="E24" s="7"/>
      <c r="F24" s="7"/>
      <c r="G24" s="7"/>
      <c r="H24" s="7"/>
    </row>
    <row r="25" ht="15.75" customHeight="1">
      <c r="A25" s="7"/>
      <c r="B25" s="7"/>
      <c r="C25" s="7"/>
      <c r="D25" s="7"/>
      <c r="E25" s="7"/>
      <c r="F25" s="7"/>
      <c r="G25" s="7"/>
      <c r="H25" s="7"/>
    </row>
    <row r="26" ht="15.75" customHeight="1">
      <c r="A26" s="7"/>
      <c r="B26" s="7"/>
      <c r="C26" s="7"/>
      <c r="D26" s="7"/>
      <c r="E26" s="7"/>
      <c r="F26" s="7"/>
      <c r="G26" s="7"/>
      <c r="H26" s="7"/>
    </row>
    <row r="27" ht="15.75" customHeight="1">
      <c r="A27" s="7"/>
      <c r="B27" s="7"/>
      <c r="C27" s="7"/>
      <c r="D27" s="7"/>
      <c r="E27" s="7"/>
      <c r="F27" s="7"/>
      <c r="G27" s="7"/>
      <c r="H27" s="7"/>
    </row>
    <row r="28" ht="15.75" customHeight="1">
      <c r="A28" s="7"/>
      <c r="B28" s="7"/>
      <c r="C28" s="7"/>
      <c r="D28" s="7"/>
      <c r="E28" s="7"/>
      <c r="F28" s="7"/>
      <c r="G28" s="7"/>
      <c r="H28" s="7"/>
    </row>
    <row r="29" ht="15.75" customHeight="1">
      <c r="A29" s="7"/>
      <c r="B29" s="7"/>
      <c r="C29" s="7"/>
      <c r="D29" s="7"/>
      <c r="E29" s="7"/>
      <c r="F29" s="7"/>
      <c r="G29" s="7"/>
      <c r="H29" s="7"/>
    </row>
    <row r="30" ht="15.75" customHeight="1">
      <c r="A30" s="7"/>
      <c r="B30" s="7"/>
      <c r="C30" s="7"/>
      <c r="D30" s="7"/>
      <c r="E30" s="7"/>
      <c r="F30" s="7"/>
      <c r="G30" s="7"/>
      <c r="H30" s="7"/>
    </row>
    <row r="31" ht="15.75" customHeight="1">
      <c r="A31" s="7"/>
      <c r="B31" s="7"/>
      <c r="C31" s="7"/>
      <c r="D31" s="7"/>
      <c r="E31" s="7"/>
      <c r="F31" s="7"/>
      <c r="G31" s="7"/>
      <c r="H31" s="7"/>
    </row>
    <row r="32" ht="15.75" customHeight="1">
      <c r="A32" s="7"/>
      <c r="B32" s="7"/>
      <c r="C32" s="7"/>
      <c r="D32" s="7"/>
      <c r="E32" s="7"/>
      <c r="F32" s="7"/>
      <c r="G32" s="7"/>
      <c r="H32" s="7"/>
    </row>
    <row r="33" ht="15.75" customHeight="1">
      <c r="A33" s="7"/>
      <c r="B33" s="7"/>
      <c r="C33" s="7"/>
      <c r="D33" s="7"/>
      <c r="E33" s="7"/>
      <c r="F33" s="7"/>
      <c r="G33" s="7"/>
      <c r="H33" s="7"/>
    </row>
    <row r="34" ht="15.75" customHeight="1">
      <c r="A34" s="7"/>
      <c r="B34" s="7"/>
      <c r="C34" s="7"/>
      <c r="D34" s="7"/>
      <c r="E34" s="7"/>
      <c r="F34" s="7"/>
      <c r="G34" s="7"/>
      <c r="H34" s="7"/>
    </row>
    <row r="35" ht="15.75" customHeight="1">
      <c r="A35" s="7"/>
      <c r="B35" s="7"/>
      <c r="C35" s="7"/>
      <c r="D35" s="7"/>
      <c r="E35" s="7"/>
      <c r="F35" s="7"/>
      <c r="G35" s="7"/>
      <c r="H35" s="7"/>
    </row>
    <row r="36" ht="15.75" customHeight="1">
      <c r="A36" s="7"/>
      <c r="B36" s="7"/>
      <c r="C36" s="7"/>
      <c r="D36" s="7"/>
      <c r="E36" s="7"/>
      <c r="F36" s="7"/>
      <c r="G36" s="7"/>
      <c r="H36" s="7"/>
    </row>
    <row r="37" ht="15.75" customHeight="1">
      <c r="A37" s="7"/>
      <c r="B37" s="7"/>
      <c r="C37" s="7"/>
      <c r="D37" s="7"/>
      <c r="E37" s="7"/>
      <c r="F37" s="7"/>
      <c r="G37" s="7"/>
      <c r="H37" s="7"/>
    </row>
    <row r="38" ht="15.75" customHeight="1">
      <c r="A38" s="7"/>
      <c r="B38" s="7"/>
      <c r="C38" s="7"/>
      <c r="D38" s="7"/>
      <c r="E38" s="7"/>
      <c r="F38" s="7"/>
      <c r="G38" s="7"/>
      <c r="H38" s="7"/>
    </row>
    <row r="39" ht="15.75" customHeight="1">
      <c r="A39" s="7"/>
      <c r="B39" s="7"/>
      <c r="C39" s="7"/>
      <c r="D39" s="7"/>
      <c r="E39" s="7"/>
      <c r="F39" s="7"/>
      <c r="G39" s="7"/>
      <c r="H39" s="7"/>
    </row>
    <row r="40" ht="15.75" customHeight="1">
      <c r="A40" s="7"/>
      <c r="B40" s="7"/>
      <c r="C40" s="7"/>
      <c r="D40" s="7"/>
      <c r="E40" s="7"/>
      <c r="F40" s="7"/>
      <c r="G40" s="7"/>
      <c r="H40" s="7"/>
    </row>
    <row r="41" ht="15.75" customHeight="1">
      <c r="A41" s="7"/>
      <c r="B41" s="7"/>
      <c r="C41" s="7"/>
      <c r="D41" s="7"/>
      <c r="E41" s="7"/>
      <c r="F41" s="7"/>
      <c r="G41" s="7"/>
      <c r="H41" s="7"/>
    </row>
    <row r="42" ht="15.75" customHeight="1">
      <c r="A42" s="7"/>
      <c r="B42" s="7"/>
      <c r="C42" s="7"/>
      <c r="D42" s="7"/>
      <c r="E42" s="7"/>
      <c r="F42" s="7"/>
      <c r="G42" s="7"/>
      <c r="H42" s="7"/>
    </row>
    <row r="43" ht="15.75" customHeight="1">
      <c r="A43" s="7"/>
      <c r="B43" s="7"/>
      <c r="C43" s="7"/>
      <c r="D43" s="7"/>
      <c r="E43" s="7"/>
      <c r="F43" s="7"/>
      <c r="G43" s="7"/>
      <c r="H43" s="7"/>
    </row>
    <row r="44" ht="15.75" customHeight="1">
      <c r="A44" s="7"/>
      <c r="B44" s="7"/>
      <c r="C44" s="7"/>
      <c r="D44" s="7"/>
      <c r="E44" s="7"/>
      <c r="F44" s="7"/>
      <c r="G44" s="7"/>
      <c r="H44" s="7"/>
    </row>
    <row r="45" ht="15.75" customHeight="1">
      <c r="A45" s="7"/>
      <c r="B45" s="7"/>
      <c r="C45" s="7"/>
      <c r="D45" s="7"/>
      <c r="E45" s="7"/>
      <c r="F45" s="7"/>
      <c r="G45" s="7"/>
      <c r="H45" s="7"/>
    </row>
    <row r="46" ht="15.75" customHeight="1">
      <c r="A46" s="7"/>
      <c r="B46" s="7"/>
      <c r="C46" s="7"/>
      <c r="D46" s="7"/>
      <c r="E46" s="7"/>
      <c r="F46" s="7"/>
      <c r="G46" s="7"/>
      <c r="H46" s="7"/>
    </row>
    <row r="47" ht="15.75" customHeight="1">
      <c r="A47" s="7"/>
      <c r="B47" s="7"/>
      <c r="C47" s="7"/>
      <c r="D47" s="7"/>
      <c r="E47" s="7"/>
      <c r="F47" s="7"/>
      <c r="G47" s="7"/>
      <c r="H47" s="7"/>
    </row>
    <row r="48" ht="15.75" customHeight="1">
      <c r="A48" s="7"/>
      <c r="B48" s="7"/>
      <c r="C48" s="7"/>
      <c r="D48" s="7"/>
      <c r="E48" s="7"/>
      <c r="F48" s="7"/>
      <c r="G48" s="7"/>
      <c r="H48" s="7"/>
    </row>
    <row r="49" ht="15.75" customHeight="1">
      <c r="A49" s="7"/>
      <c r="B49" s="7"/>
      <c r="C49" s="7"/>
      <c r="D49" s="7"/>
      <c r="E49" s="7"/>
      <c r="F49" s="7"/>
      <c r="G49" s="7"/>
      <c r="H49" s="7"/>
    </row>
    <row r="50" ht="15.75" customHeight="1">
      <c r="A50" s="7"/>
      <c r="B50" s="7"/>
      <c r="C50" s="7"/>
      <c r="D50" s="7"/>
      <c r="E50" s="7"/>
      <c r="F50" s="7"/>
      <c r="G50" s="7"/>
      <c r="H50" s="7"/>
    </row>
    <row r="51" ht="15.75" customHeight="1">
      <c r="A51" s="7"/>
      <c r="B51" s="7"/>
      <c r="C51" s="7"/>
      <c r="D51" s="7"/>
      <c r="E51" s="7"/>
      <c r="F51" s="7"/>
      <c r="G51" s="7"/>
      <c r="H51" s="7"/>
    </row>
    <row r="52" ht="15.75" customHeight="1">
      <c r="A52" s="7"/>
      <c r="B52" s="7"/>
      <c r="C52" s="7"/>
      <c r="D52" s="7"/>
      <c r="E52" s="7"/>
      <c r="F52" s="7"/>
      <c r="G52" s="7"/>
      <c r="H52" s="7"/>
    </row>
    <row r="53" ht="15.75" customHeight="1">
      <c r="A53" s="7"/>
      <c r="B53" s="7"/>
      <c r="C53" s="7"/>
      <c r="D53" s="7"/>
      <c r="E53" s="7"/>
      <c r="F53" s="7"/>
      <c r="G53" s="7"/>
      <c r="H53" s="7"/>
    </row>
    <row r="54" ht="15.75" customHeight="1">
      <c r="A54" s="7"/>
      <c r="B54" s="7"/>
      <c r="C54" s="7"/>
      <c r="D54" s="7"/>
      <c r="E54" s="7"/>
      <c r="F54" s="7"/>
      <c r="G54" s="7"/>
      <c r="H54" s="7"/>
    </row>
    <row r="55" ht="15.75" customHeight="1">
      <c r="A55" s="7"/>
      <c r="B55" s="7"/>
      <c r="C55" s="7"/>
      <c r="D55" s="7"/>
      <c r="E55" s="7"/>
      <c r="F55" s="7"/>
      <c r="G55" s="7"/>
      <c r="H55" s="7"/>
    </row>
    <row r="56" ht="15.75" customHeight="1">
      <c r="A56" s="7"/>
      <c r="B56" s="7"/>
      <c r="C56" s="7"/>
      <c r="D56" s="7"/>
      <c r="E56" s="7"/>
      <c r="F56" s="7"/>
      <c r="G56" s="7"/>
      <c r="H56" s="7"/>
    </row>
    <row r="57" ht="15.75" customHeight="1">
      <c r="A57" s="7"/>
      <c r="B57" s="7"/>
      <c r="C57" s="7"/>
      <c r="D57" s="7"/>
      <c r="E57" s="7"/>
      <c r="F57" s="7"/>
      <c r="G57" s="7"/>
      <c r="H57" s="7"/>
    </row>
    <row r="58" ht="15.75" customHeight="1">
      <c r="A58" s="7"/>
      <c r="B58" s="7"/>
      <c r="C58" s="7"/>
      <c r="D58" s="7"/>
      <c r="E58" s="7"/>
      <c r="F58" s="7"/>
      <c r="G58" s="7"/>
      <c r="H58" s="7"/>
    </row>
    <row r="59" ht="15.75" customHeight="1">
      <c r="A59" s="7"/>
      <c r="B59" s="7"/>
      <c r="C59" s="7"/>
      <c r="D59" s="7"/>
      <c r="E59" s="7"/>
      <c r="F59" s="7"/>
      <c r="G59" s="7"/>
      <c r="H59" s="7"/>
    </row>
    <row r="60" ht="15.75" customHeight="1">
      <c r="A60" s="7"/>
      <c r="B60" s="7"/>
      <c r="C60" s="7"/>
      <c r="D60" s="7"/>
      <c r="E60" s="7"/>
      <c r="F60" s="7"/>
      <c r="G60" s="7"/>
      <c r="H60" s="7"/>
    </row>
    <row r="61" ht="15.75" customHeight="1">
      <c r="A61" s="7"/>
      <c r="B61" s="7"/>
      <c r="C61" s="7"/>
      <c r="D61" s="7"/>
      <c r="E61" s="7"/>
      <c r="F61" s="7"/>
      <c r="G61" s="7"/>
      <c r="H61" s="7"/>
    </row>
    <row r="62" ht="15.75" customHeight="1">
      <c r="A62" s="7"/>
      <c r="B62" s="7"/>
      <c r="C62" s="7"/>
      <c r="D62" s="7"/>
      <c r="E62" s="7"/>
      <c r="F62" s="7"/>
      <c r="G62" s="7"/>
      <c r="H62" s="7"/>
    </row>
    <row r="63" ht="15.75" customHeight="1">
      <c r="A63" s="7"/>
      <c r="B63" s="7"/>
      <c r="C63" s="7"/>
      <c r="D63" s="7"/>
      <c r="E63" s="7"/>
      <c r="F63" s="7"/>
      <c r="G63" s="7"/>
      <c r="H63" s="7"/>
    </row>
    <row r="64" ht="15.75" customHeight="1">
      <c r="A64" s="7"/>
      <c r="B64" s="7"/>
      <c r="C64" s="7"/>
      <c r="D64" s="7"/>
      <c r="E64" s="7"/>
      <c r="F64" s="7"/>
      <c r="G64" s="7"/>
      <c r="H64" s="7"/>
    </row>
    <row r="65" ht="15.75" customHeight="1">
      <c r="A65" s="7"/>
      <c r="B65" s="7"/>
      <c r="C65" s="7"/>
      <c r="D65" s="7"/>
      <c r="E65" s="7"/>
      <c r="F65" s="7"/>
      <c r="G65" s="7"/>
      <c r="H65" s="7"/>
    </row>
    <row r="66" ht="15.75" customHeight="1">
      <c r="A66" s="7"/>
      <c r="B66" s="7"/>
      <c r="C66" s="7"/>
      <c r="D66" s="7"/>
      <c r="E66" s="7"/>
      <c r="F66" s="7"/>
      <c r="G66" s="7"/>
      <c r="H66" s="7"/>
    </row>
    <row r="67" ht="15.75" customHeight="1">
      <c r="A67" s="7"/>
      <c r="B67" s="7"/>
      <c r="C67" s="7"/>
      <c r="D67" s="7"/>
      <c r="E67" s="7"/>
      <c r="F67" s="7"/>
      <c r="G67" s="7"/>
      <c r="H67" s="7"/>
    </row>
    <row r="68" ht="15.75" customHeight="1">
      <c r="A68" s="7"/>
      <c r="B68" s="7"/>
      <c r="C68" s="7"/>
      <c r="D68" s="7"/>
      <c r="E68" s="7"/>
      <c r="F68" s="7"/>
      <c r="G68" s="7"/>
      <c r="H68" s="7"/>
    </row>
    <row r="69" ht="15.75" customHeight="1">
      <c r="A69" s="7"/>
      <c r="B69" s="7"/>
      <c r="C69" s="7"/>
      <c r="D69" s="7"/>
      <c r="E69" s="7"/>
      <c r="F69" s="7"/>
      <c r="G69" s="7"/>
      <c r="H69" s="7"/>
    </row>
    <row r="70" ht="15.75" customHeight="1">
      <c r="A70" s="7"/>
      <c r="B70" s="7"/>
      <c r="C70" s="7"/>
      <c r="D70" s="7"/>
      <c r="E70" s="7"/>
      <c r="F70" s="7"/>
      <c r="G70" s="7"/>
      <c r="H70" s="7"/>
    </row>
    <row r="71" ht="15.75" customHeight="1">
      <c r="A71" s="7"/>
      <c r="B71" s="7"/>
      <c r="C71" s="7"/>
      <c r="D71" s="7"/>
      <c r="E71" s="7"/>
      <c r="F71" s="7"/>
      <c r="G71" s="7"/>
      <c r="H71" s="7"/>
    </row>
    <row r="72" ht="15.75" customHeight="1">
      <c r="A72" s="7"/>
      <c r="B72" s="7"/>
      <c r="C72" s="7"/>
      <c r="D72" s="7"/>
      <c r="E72" s="7"/>
      <c r="F72" s="7"/>
      <c r="G72" s="7"/>
      <c r="H72" s="7"/>
    </row>
    <row r="73" ht="15.75" customHeight="1">
      <c r="A73" s="7"/>
      <c r="B73" s="7"/>
      <c r="C73" s="7"/>
      <c r="D73" s="7"/>
      <c r="E73" s="7"/>
      <c r="F73" s="7"/>
      <c r="G73" s="7"/>
      <c r="H73" s="7"/>
    </row>
    <row r="74" ht="15.75" customHeight="1">
      <c r="A74" s="7"/>
      <c r="B74" s="7"/>
      <c r="C74" s="7"/>
      <c r="D74" s="7"/>
      <c r="E74" s="7"/>
      <c r="F74" s="7"/>
      <c r="G74" s="7"/>
      <c r="H74" s="7"/>
    </row>
    <row r="75" ht="15.75" customHeight="1">
      <c r="A75" s="7"/>
      <c r="B75" s="7"/>
      <c r="C75" s="7"/>
      <c r="D75" s="7"/>
      <c r="E75" s="7"/>
      <c r="F75" s="7"/>
      <c r="G75" s="7"/>
      <c r="H75" s="7"/>
    </row>
    <row r="76" ht="15.75" customHeight="1">
      <c r="A76" s="7"/>
      <c r="B76" s="7"/>
      <c r="C76" s="7"/>
      <c r="D76" s="7"/>
      <c r="E76" s="7"/>
      <c r="F76" s="7"/>
      <c r="G76" s="7"/>
      <c r="H76" s="7"/>
    </row>
    <row r="77" ht="15.75" customHeight="1">
      <c r="A77" s="7"/>
      <c r="B77" s="7"/>
      <c r="C77" s="7"/>
      <c r="D77" s="7"/>
      <c r="E77" s="7"/>
      <c r="F77" s="7"/>
      <c r="G77" s="7"/>
      <c r="H77" s="7"/>
    </row>
    <row r="78" ht="15.75" customHeight="1">
      <c r="A78" s="7"/>
      <c r="B78" s="7"/>
      <c r="C78" s="7"/>
      <c r="D78" s="7"/>
      <c r="E78" s="7"/>
      <c r="F78" s="7"/>
      <c r="G78" s="7"/>
      <c r="H78" s="7"/>
    </row>
    <row r="79" ht="15.75" customHeight="1">
      <c r="A79" s="7"/>
      <c r="B79" s="7"/>
      <c r="C79" s="7"/>
      <c r="D79" s="7"/>
      <c r="E79" s="7"/>
      <c r="F79" s="7"/>
      <c r="G79" s="7"/>
      <c r="H79" s="7"/>
    </row>
    <row r="80" ht="15.75" customHeight="1">
      <c r="A80" s="7"/>
      <c r="B80" s="7"/>
      <c r="C80" s="7"/>
      <c r="D80" s="7"/>
      <c r="E80" s="7"/>
      <c r="F80" s="7"/>
      <c r="G80" s="7"/>
      <c r="H80" s="7"/>
    </row>
    <row r="81" ht="15.75" customHeight="1">
      <c r="A81" s="7"/>
      <c r="B81" s="7"/>
      <c r="C81" s="7"/>
      <c r="D81" s="7"/>
      <c r="E81" s="7"/>
      <c r="F81" s="7"/>
      <c r="G81" s="7"/>
      <c r="H81" s="7"/>
    </row>
    <row r="82" ht="15.75" customHeight="1">
      <c r="A82" s="7"/>
      <c r="B82" s="7"/>
      <c r="C82" s="7"/>
      <c r="D82" s="7"/>
      <c r="E82" s="7"/>
      <c r="F82" s="7"/>
      <c r="G82" s="7"/>
      <c r="H82" s="7"/>
    </row>
    <row r="83" ht="15.75" customHeight="1">
      <c r="A83" s="7"/>
      <c r="B83" s="7"/>
      <c r="C83" s="7"/>
      <c r="D83" s="7"/>
      <c r="E83" s="7"/>
      <c r="F83" s="7"/>
      <c r="G83" s="7"/>
      <c r="H83" s="7"/>
    </row>
    <row r="84" ht="15.75" customHeight="1">
      <c r="A84" s="7"/>
      <c r="B84" s="7"/>
      <c r="C84" s="7"/>
      <c r="D84" s="7"/>
      <c r="E84" s="7"/>
      <c r="F84" s="7"/>
      <c r="G84" s="7"/>
      <c r="H84" s="7"/>
    </row>
    <row r="85" ht="15.75" customHeight="1">
      <c r="A85" s="7"/>
      <c r="B85" s="7"/>
      <c r="C85" s="7"/>
      <c r="D85" s="7"/>
      <c r="E85" s="7"/>
      <c r="F85" s="7"/>
      <c r="G85" s="7"/>
      <c r="H85" s="7"/>
    </row>
    <row r="86" ht="15.75" customHeight="1">
      <c r="A86" s="7"/>
      <c r="B86" s="7"/>
      <c r="C86" s="7"/>
      <c r="D86" s="7"/>
      <c r="E86" s="7"/>
      <c r="F86" s="7"/>
      <c r="G86" s="7"/>
      <c r="H86" s="7"/>
    </row>
    <row r="87" ht="15.75" customHeight="1">
      <c r="A87" s="7"/>
      <c r="B87" s="7"/>
      <c r="C87" s="7"/>
      <c r="D87" s="7"/>
      <c r="E87" s="7"/>
      <c r="F87" s="7"/>
      <c r="G87" s="7"/>
      <c r="H87" s="7"/>
    </row>
    <row r="88" ht="15.75" customHeight="1">
      <c r="A88" s="7"/>
      <c r="B88" s="7"/>
      <c r="C88" s="7"/>
      <c r="D88" s="7"/>
      <c r="E88" s="7"/>
      <c r="F88" s="7"/>
      <c r="G88" s="7"/>
      <c r="H88" s="7"/>
    </row>
    <row r="89" ht="15.75" customHeight="1">
      <c r="A89" s="7"/>
      <c r="B89" s="7"/>
      <c r="C89" s="7"/>
      <c r="D89" s="7"/>
      <c r="E89" s="7"/>
      <c r="F89" s="7"/>
      <c r="G89" s="7"/>
      <c r="H89" s="7"/>
    </row>
    <row r="90" ht="15.75" customHeight="1">
      <c r="A90" s="7"/>
      <c r="B90" s="7"/>
      <c r="C90" s="7"/>
      <c r="D90" s="7"/>
      <c r="E90" s="7"/>
      <c r="F90" s="7"/>
      <c r="G90" s="7"/>
      <c r="H90" s="7"/>
    </row>
    <row r="91" ht="15.75" customHeight="1">
      <c r="A91" s="7"/>
      <c r="B91" s="7"/>
      <c r="C91" s="7"/>
      <c r="D91" s="7"/>
      <c r="E91" s="7"/>
      <c r="F91" s="7"/>
      <c r="G91" s="7"/>
      <c r="H91" s="7"/>
    </row>
    <row r="92" ht="15.75" customHeight="1">
      <c r="A92" s="7"/>
      <c r="B92" s="7"/>
      <c r="C92" s="7"/>
      <c r="D92" s="7"/>
      <c r="E92" s="7"/>
      <c r="F92" s="7"/>
      <c r="G92" s="7"/>
      <c r="H92" s="7"/>
    </row>
    <row r="93" ht="15.75" customHeight="1">
      <c r="A93" s="7"/>
      <c r="B93" s="7"/>
      <c r="C93" s="7"/>
      <c r="D93" s="7"/>
      <c r="E93" s="7"/>
      <c r="F93" s="7"/>
      <c r="G93" s="7"/>
      <c r="H93" s="7"/>
    </row>
    <row r="94" ht="15.75" customHeight="1">
      <c r="A94" s="7"/>
      <c r="B94" s="7"/>
      <c r="C94" s="7"/>
      <c r="D94" s="7"/>
      <c r="E94" s="7"/>
      <c r="F94" s="7"/>
      <c r="G94" s="7"/>
      <c r="H94" s="7"/>
    </row>
    <row r="95" ht="15.75" customHeight="1">
      <c r="A95" s="7"/>
      <c r="B95" s="7"/>
      <c r="C95" s="7"/>
      <c r="D95" s="7"/>
      <c r="E95" s="7"/>
      <c r="F95" s="7"/>
      <c r="G95" s="7"/>
      <c r="H95" s="7"/>
    </row>
    <row r="96" ht="15.75" customHeight="1">
      <c r="A96" s="7"/>
      <c r="B96" s="7"/>
      <c r="C96" s="7"/>
      <c r="D96" s="7"/>
      <c r="E96" s="7"/>
      <c r="F96" s="7"/>
      <c r="G96" s="7"/>
      <c r="H96" s="7"/>
    </row>
    <row r="97" ht="15.75" customHeight="1">
      <c r="A97" s="7"/>
      <c r="B97" s="7"/>
      <c r="C97" s="7"/>
      <c r="D97" s="7"/>
      <c r="E97" s="7"/>
      <c r="F97" s="7"/>
      <c r="G97" s="7"/>
      <c r="H97" s="7"/>
    </row>
    <row r="98" ht="15.75" customHeight="1">
      <c r="A98" s="7"/>
      <c r="B98" s="7"/>
      <c r="C98" s="7"/>
      <c r="D98" s="7"/>
      <c r="E98" s="7"/>
      <c r="F98" s="7"/>
      <c r="G98" s="7"/>
      <c r="H98" s="7"/>
    </row>
    <row r="99" ht="15.75" customHeight="1">
      <c r="A99" s="7"/>
      <c r="B99" s="7"/>
      <c r="C99" s="7"/>
      <c r="D99" s="7"/>
      <c r="E99" s="7"/>
      <c r="F99" s="7"/>
      <c r="G99" s="7"/>
      <c r="H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